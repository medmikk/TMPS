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dmi\Desktop\study\2 сем\моделирование\"/>
    </mc:Choice>
  </mc:AlternateContent>
  <bookViews>
    <workbookView xWindow="0" yWindow="0" windowWidth="28800" windowHeight="1291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24" i="1" l="1"/>
  <c r="B23" i="1"/>
  <c r="E26" i="1" l="1"/>
  <c r="D26" i="1"/>
  <c r="C26" i="1"/>
  <c r="B26" i="1"/>
  <c r="E25" i="1"/>
  <c r="D25" i="1"/>
  <c r="C25" i="1"/>
  <c r="B25" i="1"/>
  <c r="E24" i="1"/>
  <c r="D24" i="1"/>
  <c r="C24" i="1"/>
  <c r="E23" i="1"/>
  <c r="E31" i="1" s="1"/>
  <c r="D23" i="1"/>
  <c r="C23" i="1"/>
  <c r="C31" i="1" l="1"/>
  <c r="C36" i="1" s="1"/>
  <c r="C43" i="1" s="1"/>
  <c r="B31" i="1"/>
  <c r="B38" i="1" s="1"/>
  <c r="B45" i="1" s="1"/>
  <c r="D31" i="1"/>
  <c r="D38" i="1" s="1"/>
  <c r="D45" i="1" s="1"/>
  <c r="E36" i="1"/>
  <c r="E43" i="1" s="1"/>
  <c r="E35" i="1"/>
  <c r="E42" i="1" s="1"/>
  <c r="E38" i="1"/>
  <c r="E45" i="1" s="1"/>
  <c r="E37" i="1"/>
  <c r="E44" i="1" s="1"/>
  <c r="C38" i="1" l="1"/>
  <c r="C45" i="1" s="1"/>
  <c r="B52" i="1" s="1"/>
  <c r="C37" i="1"/>
  <c r="C44" i="1" s="1"/>
  <c r="C35" i="1"/>
  <c r="C42" i="1" s="1"/>
  <c r="B37" i="1"/>
  <c r="B44" i="1" s="1"/>
  <c r="B35" i="1"/>
  <c r="B42" i="1" s="1"/>
  <c r="B36" i="1"/>
  <c r="B43" i="1" s="1"/>
  <c r="D35" i="1"/>
  <c r="D42" i="1" s="1"/>
  <c r="D36" i="1"/>
  <c r="D43" i="1" s="1"/>
  <c r="D37" i="1"/>
  <c r="D44" i="1" s="1"/>
  <c r="B49" i="1" l="1"/>
  <c r="B50" i="1"/>
  <c r="B51" i="1"/>
  <c r="A5" i="1" l="1"/>
  <c r="A7" i="1"/>
  <c r="A8" i="1"/>
  <c r="A6" i="1"/>
</calcChain>
</file>

<file path=xl/sharedStrings.xml><?xml version="1.0" encoding="utf-8"?>
<sst xmlns="http://schemas.openxmlformats.org/spreadsheetml/2006/main" count="32" uniqueCount="15">
  <si>
    <t>Ранг</t>
  </si>
  <si>
    <t>Вес</t>
  </si>
  <si>
    <t>Результативная таблица</t>
  </si>
  <si>
    <t>Нормализованная таблица</t>
  </si>
  <si>
    <t>Нормализованная и взвешанная таблица</t>
  </si>
  <si>
    <t>Таблица квадратов</t>
  </si>
  <si>
    <t>Входные данные</t>
  </si>
  <si>
    <t>Цена</t>
  </si>
  <si>
    <t>Функционал</t>
  </si>
  <si>
    <t>Интерфейс</t>
  </si>
  <si>
    <t>EmEditor</t>
  </si>
  <si>
    <t>Word 2016</t>
  </si>
  <si>
    <t>Adobe Acrobat</t>
  </si>
  <si>
    <t>Iceni Infix</t>
  </si>
  <si>
    <t>Сложность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</si>
</sst>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Arial"/>
    </font>
    <font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name val="Calibri"/>
      <family val="2"/>
      <charset val="204"/>
    </font>
    <font>
      <b/>
      <sz val="11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6DF8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Border="1"/>
    <xf numFmtId="0" fontId="0" fillId="0" borderId="7" xfId="0" applyFont="1" applyBorder="1" applyAlignment="1"/>
    <xf numFmtId="0" fontId="3" fillId="0" borderId="0" xfId="0" applyFont="1" applyAlignment="1"/>
    <xf numFmtId="0" fontId="4" fillId="0" borderId="1" xfId="0" applyFont="1" applyBorder="1"/>
    <xf numFmtId="0" fontId="4" fillId="0" borderId="6" xfId="0" applyFont="1" applyBorder="1"/>
    <xf numFmtId="0" fontId="4" fillId="0" borderId="4" xfId="0" applyFont="1" applyBorder="1"/>
    <xf numFmtId="0" fontId="3" fillId="0" borderId="4" xfId="0" applyFont="1" applyBorder="1" applyAlignment="1"/>
    <xf numFmtId="0" fontId="4" fillId="0" borderId="4" xfId="0" applyFont="1" applyBorder="1" applyAlignment="1">
      <alignment horizontal="center" vertical="center"/>
    </xf>
    <xf numFmtId="0" fontId="3" fillId="0" borderId="8" xfId="0" applyFont="1" applyBorder="1" applyAlignment="1"/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3" xfId="0" applyFont="1" applyBorder="1"/>
    <xf numFmtId="0" fontId="4" fillId="0" borderId="5" xfId="0" applyFont="1" applyBorder="1"/>
    <xf numFmtId="0" fontId="4" fillId="0" borderId="2" xfId="0" applyFont="1" applyBorder="1"/>
    <xf numFmtId="0" fontId="4" fillId="0" borderId="9" xfId="0" applyFont="1" applyBorder="1"/>
    <xf numFmtId="0" fontId="3" fillId="0" borderId="0" xfId="0" applyFont="1" applyBorder="1" applyAlignment="1"/>
    <xf numFmtId="0" fontId="0" fillId="0" borderId="0" xfId="0" applyFont="1" applyBorder="1" applyAlignment="1"/>
    <xf numFmtId="0" fontId="6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/>
    <xf numFmtId="0" fontId="2" fillId="2" borderId="4" xfId="0" applyFont="1" applyFill="1" applyBorder="1" applyAlignment="1">
      <alignment horizontal="center" vertical="center"/>
    </xf>
    <xf numFmtId="0" fontId="4" fillId="0" borderId="11" xfId="0" applyFont="1" applyBorder="1"/>
    <xf numFmtId="0" fontId="4" fillId="0" borderId="10" xfId="0" applyFont="1" applyBorder="1"/>
    <xf numFmtId="0" fontId="6" fillId="2" borderId="4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5" fillId="0" borderId="4" xfId="0" applyFont="1" applyBorder="1" applyAlignment="1"/>
    <xf numFmtId="0" fontId="4" fillId="0" borderId="0" xfId="0" applyFont="1" applyBorder="1" applyAlignment="1">
      <alignment horizontal="center" vertical="center"/>
    </xf>
    <xf numFmtId="0" fontId="4" fillId="3" borderId="4" xfId="0" applyFont="1" applyFill="1" applyBorder="1"/>
  </cellXfs>
  <cellStyles count="1">
    <cellStyle name="Обычный" xfId="0" builtinId="0"/>
  </cellStyles>
  <dxfs count="1">
    <dxf>
      <fill>
        <patternFill>
          <bgColor rgb="FFB6DF89"/>
        </patternFill>
      </fill>
    </dxf>
  </dxfs>
  <tableStyles count="0" defaultTableStyle="TableStyleMedium2" defaultPivotStyle="PivotStyleLight16"/>
  <colors>
    <mruColors>
      <color rgb="FFB6DF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AB52"/>
  <sheetViews>
    <sheetView tabSelected="1" topLeftCell="A25" zoomScale="85" zoomScaleNormal="85" workbookViewId="0">
      <selection activeCell="D54" sqref="D54"/>
    </sheetView>
  </sheetViews>
  <sheetFormatPr defaultColWidth="14.42578125" defaultRowHeight="15.75" customHeight="1" x14ac:dyDescent="0.2"/>
  <cols>
    <col min="1" max="1" width="18.140625" customWidth="1"/>
    <col min="2" max="2" width="13.85546875" customWidth="1"/>
    <col min="3" max="3" width="14.7109375" customWidth="1"/>
    <col min="4" max="4" width="19" customWidth="1"/>
    <col min="5" max="5" width="16.85546875" customWidth="1"/>
    <col min="6" max="6" width="17.7109375" customWidth="1"/>
  </cols>
  <sheetData>
    <row r="2" spans="1:28" ht="18" customHeight="1" x14ac:dyDescent="0.2"/>
    <row r="3" spans="1:28" ht="12.75" x14ac:dyDescent="0.2">
      <c r="L3" s="1"/>
      <c r="R3" s="3"/>
      <c r="X3" s="2"/>
    </row>
    <row r="4" spans="1:28" ht="15" x14ac:dyDescent="0.25">
      <c r="A4" s="23" t="s">
        <v>0</v>
      </c>
      <c r="B4" s="5"/>
      <c r="C4" s="5"/>
      <c r="D4" s="5"/>
      <c r="E4" s="5"/>
      <c r="L4" s="1"/>
      <c r="R4" s="3"/>
      <c r="X4" s="2"/>
    </row>
    <row r="5" spans="1:28" ht="15" x14ac:dyDescent="0.25">
      <c r="A5" s="18">
        <f>RANK(B49,$B$49:$B$52)</f>
        <v>2</v>
      </c>
      <c r="B5" s="5"/>
      <c r="C5" s="5"/>
      <c r="D5" s="5"/>
      <c r="E5" s="5"/>
      <c r="L5" s="1"/>
      <c r="R5" s="3"/>
      <c r="X5" s="2"/>
    </row>
    <row r="6" spans="1:28" ht="15" x14ac:dyDescent="0.25">
      <c r="A6" s="6">
        <f>RANK(B50,$B$49:$B$52)</f>
        <v>4</v>
      </c>
      <c r="B6" s="5"/>
      <c r="C6" s="5"/>
      <c r="D6" s="5"/>
      <c r="E6" s="5"/>
      <c r="L6" s="1"/>
      <c r="R6" s="3"/>
      <c r="X6" s="2"/>
    </row>
    <row r="7" spans="1:28" ht="15" x14ac:dyDescent="0.25">
      <c r="A7" s="7">
        <f>RANK(B51,$B$49:$B$52)</f>
        <v>1</v>
      </c>
      <c r="B7" s="5"/>
      <c r="C7" s="5"/>
      <c r="D7" s="5"/>
      <c r="E7" s="5"/>
      <c r="L7" s="1"/>
      <c r="N7" s="3"/>
      <c r="O7" s="3"/>
      <c r="P7" s="3"/>
      <c r="Q7" s="3"/>
      <c r="R7" s="3"/>
      <c r="T7" s="3"/>
      <c r="U7" s="3"/>
      <c r="V7" s="3"/>
      <c r="W7" s="3"/>
      <c r="X7" s="2"/>
      <c r="Y7" s="3"/>
      <c r="Z7" s="3"/>
      <c r="AA7" s="3"/>
      <c r="AB7" s="3"/>
    </row>
    <row r="8" spans="1:28" ht="15" x14ac:dyDescent="0.25">
      <c r="A8" s="8">
        <f>RANK(B52,$B$49:$B$52)</f>
        <v>3</v>
      </c>
      <c r="B8" s="5"/>
      <c r="C8" s="5"/>
      <c r="D8" s="5"/>
      <c r="E8" s="19"/>
      <c r="F8" s="20"/>
      <c r="L8" s="1"/>
      <c r="N8" s="3"/>
      <c r="O8" s="3"/>
      <c r="P8" s="3"/>
      <c r="Q8" s="3"/>
      <c r="R8" s="3"/>
      <c r="T8" s="2"/>
      <c r="U8" s="2"/>
      <c r="V8" s="2"/>
      <c r="W8" s="2"/>
      <c r="X8" s="2"/>
      <c r="Z8" s="2"/>
    </row>
    <row r="9" spans="1:28" ht="15" x14ac:dyDescent="0.25">
      <c r="A9" s="5"/>
      <c r="B9" s="5"/>
      <c r="C9" s="5"/>
      <c r="D9" s="5"/>
      <c r="E9" s="19"/>
      <c r="F9" s="20"/>
      <c r="L9" s="1"/>
      <c r="N9" s="3"/>
      <c r="O9" s="3"/>
      <c r="P9" s="3"/>
      <c r="Q9" s="3"/>
      <c r="R9" s="3"/>
      <c r="T9" s="2"/>
      <c r="U9" s="2"/>
      <c r="V9" s="2"/>
      <c r="W9" s="2"/>
      <c r="X9" s="2"/>
      <c r="Z9" s="2"/>
    </row>
    <row r="10" spans="1:28" ht="19.5" customHeight="1" x14ac:dyDescent="0.2">
      <c r="A10" s="21" t="s">
        <v>6</v>
      </c>
      <c r="B10" s="21" t="s">
        <v>7</v>
      </c>
      <c r="C10" s="22" t="s">
        <v>8</v>
      </c>
      <c r="D10" s="21" t="s">
        <v>14</v>
      </c>
      <c r="E10" s="21" t="s">
        <v>9</v>
      </c>
      <c r="F10" s="4"/>
    </row>
    <row r="11" spans="1:28" ht="15" x14ac:dyDescent="0.25">
      <c r="A11" s="9" t="s">
        <v>11</v>
      </c>
      <c r="B11" s="10">
        <v>13000</v>
      </c>
      <c r="C11" s="10">
        <v>10000</v>
      </c>
      <c r="D11" s="10">
        <v>1500</v>
      </c>
      <c r="E11" s="10">
        <v>8000</v>
      </c>
    </row>
    <row r="12" spans="1:28" ht="15.75" customHeight="1" x14ac:dyDescent="0.25">
      <c r="A12" s="9" t="s">
        <v>10</v>
      </c>
      <c r="B12" s="10">
        <v>8000</v>
      </c>
      <c r="C12" s="10">
        <v>3000</v>
      </c>
      <c r="D12" s="10">
        <v>900</v>
      </c>
      <c r="E12" s="10">
        <v>2000</v>
      </c>
    </row>
    <row r="13" spans="1:28" ht="15.75" customHeight="1" x14ac:dyDescent="0.25">
      <c r="A13" s="9" t="s">
        <v>12</v>
      </c>
      <c r="B13" s="10">
        <v>16000</v>
      </c>
      <c r="C13" s="10">
        <v>15000</v>
      </c>
      <c r="D13" s="10">
        <v>1000</v>
      </c>
      <c r="E13" s="10">
        <v>10000</v>
      </c>
    </row>
    <row r="14" spans="1:28" ht="15.75" customHeight="1" x14ac:dyDescent="0.25">
      <c r="A14" s="30" t="s">
        <v>13</v>
      </c>
      <c r="B14" s="10">
        <v>6000</v>
      </c>
      <c r="C14" s="10">
        <v>2000</v>
      </c>
      <c r="D14" s="10">
        <v>800</v>
      </c>
      <c r="E14" s="10">
        <v>1000</v>
      </c>
    </row>
    <row r="15" spans="1:28" ht="15.75" customHeight="1" x14ac:dyDescent="0.25">
      <c r="A15" s="19"/>
      <c r="B15" s="31"/>
      <c r="C15" s="31"/>
      <c r="D15" s="31"/>
      <c r="E15" s="31"/>
    </row>
    <row r="16" spans="1:28" ht="15" x14ac:dyDescent="0.25">
      <c r="A16" s="19"/>
      <c r="B16" s="13"/>
      <c r="C16" s="13"/>
      <c r="D16" s="13"/>
      <c r="E16" s="13"/>
    </row>
    <row r="17" spans="1:23" ht="15" x14ac:dyDescent="0.25">
      <c r="A17" s="19"/>
      <c r="B17" s="19"/>
      <c r="C17" s="13"/>
      <c r="D17" s="13"/>
      <c r="E17" s="13"/>
      <c r="W17" s="3"/>
    </row>
    <row r="18" spans="1:23" ht="15" x14ac:dyDescent="0.25">
      <c r="A18" s="19"/>
      <c r="B18" s="19"/>
      <c r="C18" s="19"/>
      <c r="D18" s="19"/>
      <c r="E18" s="19"/>
      <c r="W18" s="3"/>
    </row>
    <row r="19" spans="1:23" ht="15.75" customHeight="1" x14ac:dyDescent="0.2">
      <c r="A19" s="24" t="s">
        <v>1</v>
      </c>
      <c r="B19" s="10">
        <v>0.5</v>
      </c>
      <c r="C19" s="10">
        <v>0.3</v>
      </c>
      <c r="D19" s="10">
        <v>0.2</v>
      </c>
      <c r="E19" s="10">
        <v>0.2</v>
      </c>
    </row>
    <row r="20" spans="1:23" ht="15.75" customHeight="1" x14ac:dyDescent="0.25">
      <c r="A20" s="5"/>
      <c r="B20" s="5"/>
      <c r="C20" s="5"/>
      <c r="D20" s="5"/>
      <c r="E20" s="5"/>
    </row>
    <row r="21" spans="1:23" ht="15.75" customHeight="1" x14ac:dyDescent="0.25">
      <c r="A21" s="5"/>
      <c r="B21" s="5"/>
      <c r="C21" s="5"/>
      <c r="D21" s="5"/>
      <c r="E21" s="5"/>
    </row>
    <row r="22" spans="1:23" ht="15.75" customHeight="1" x14ac:dyDescent="0.2">
      <c r="A22" s="27" t="s">
        <v>5</v>
      </c>
      <c r="B22" s="27"/>
      <c r="C22" s="27"/>
      <c r="D22" s="27"/>
      <c r="E22" s="27"/>
    </row>
    <row r="23" spans="1:23" ht="15.75" customHeight="1" x14ac:dyDescent="0.25">
      <c r="A23" s="9" t="s">
        <v>11</v>
      </c>
      <c r="B23" s="12">
        <f>(B11^2)</f>
        <v>169000000</v>
      </c>
      <c r="C23" s="12">
        <f t="shared" ref="B23:E26" si="0">(C11^2)</f>
        <v>100000000</v>
      </c>
      <c r="D23" s="12">
        <f t="shared" si="0"/>
        <v>2250000</v>
      </c>
      <c r="E23" s="12">
        <f t="shared" si="0"/>
        <v>64000000</v>
      </c>
    </row>
    <row r="24" spans="1:23" ht="15.75" customHeight="1" x14ac:dyDescent="0.25">
      <c r="A24" s="9" t="s">
        <v>10</v>
      </c>
      <c r="B24" s="12">
        <f>(B12^2)</f>
        <v>64000000</v>
      </c>
      <c r="C24" s="12">
        <f t="shared" si="0"/>
        <v>9000000</v>
      </c>
      <c r="D24" s="12">
        <f t="shared" si="0"/>
        <v>810000</v>
      </c>
      <c r="E24" s="12">
        <f t="shared" si="0"/>
        <v>4000000</v>
      </c>
    </row>
    <row r="25" spans="1:23" ht="15.75" customHeight="1" x14ac:dyDescent="0.25">
      <c r="A25" s="9" t="s">
        <v>12</v>
      </c>
      <c r="B25" s="12">
        <f t="shared" si="0"/>
        <v>256000000</v>
      </c>
      <c r="C25" s="12">
        <f t="shared" si="0"/>
        <v>225000000</v>
      </c>
      <c r="D25" s="12">
        <f t="shared" si="0"/>
        <v>1000000</v>
      </c>
      <c r="E25" s="12">
        <f t="shared" si="0"/>
        <v>100000000</v>
      </c>
    </row>
    <row r="26" spans="1:23" ht="15.75" customHeight="1" x14ac:dyDescent="0.25">
      <c r="A26" s="30" t="s">
        <v>13</v>
      </c>
      <c r="B26" s="12">
        <f t="shared" si="0"/>
        <v>36000000</v>
      </c>
      <c r="C26" s="12">
        <f t="shared" si="0"/>
        <v>4000000</v>
      </c>
      <c r="D26" s="12">
        <f t="shared" si="0"/>
        <v>640000</v>
      </c>
      <c r="E26" s="12">
        <f t="shared" si="0"/>
        <v>1000000</v>
      </c>
    </row>
    <row r="27" spans="1:23" ht="15.75" customHeight="1" x14ac:dyDescent="0.25">
      <c r="A27" s="11"/>
      <c r="B27" s="13"/>
      <c r="C27" s="13"/>
      <c r="D27" s="13"/>
      <c r="E27" s="13"/>
    </row>
    <row r="28" spans="1:23" ht="15.75" customHeight="1" x14ac:dyDescent="0.25">
      <c r="A28" s="5"/>
      <c r="B28" s="14"/>
      <c r="C28" s="14"/>
      <c r="D28" s="14"/>
      <c r="E28" s="14"/>
    </row>
    <row r="29" spans="1:23" ht="15.75" customHeight="1" x14ac:dyDescent="0.25">
      <c r="A29" s="5"/>
      <c r="B29" s="14"/>
      <c r="C29" s="14"/>
      <c r="D29" s="14"/>
      <c r="E29" s="14"/>
    </row>
    <row r="30" spans="1:23" ht="15.75" customHeight="1" x14ac:dyDescent="0.25">
      <c r="A30" s="5"/>
      <c r="B30" s="5"/>
      <c r="C30" s="5"/>
      <c r="D30" s="5"/>
      <c r="E30" s="5"/>
    </row>
    <row r="31" spans="1:23" ht="15.75" customHeight="1" x14ac:dyDescent="0.25">
      <c r="A31" s="24" t="s">
        <v>1</v>
      </c>
      <c r="B31" s="6">
        <f t="shared" ref="B31:E31" si="1">SQRT(SUM(B23:B29))</f>
        <v>22912.878474779201</v>
      </c>
      <c r="C31" s="6">
        <f t="shared" si="1"/>
        <v>18384.776310850237</v>
      </c>
      <c r="D31" s="15">
        <f t="shared" si="1"/>
        <v>2167.94833886788</v>
      </c>
      <c r="E31" s="8">
        <f t="shared" si="1"/>
        <v>13000</v>
      </c>
    </row>
    <row r="32" spans="1:23" ht="15.75" customHeight="1" x14ac:dyDescent="0.25">
      <c r="A32" s="5"/>
      <c r="B32" s="5"/>
      <c r="C32" s="5"/>
      <c r="D32" s="5"/>
      <c r="E32" s="5"/>
    </row>
    <row r="33" spans="1:5" ht="15.75" customHeight="1" x14ac:dyDescent="0.25">
      <c r="A33" s="5"/>
      <c r="B33" s="5"/>
      <c r="C33" s="5"/>
      <c r="D33" s="5"/>
      <c r="E33" s="5"/>
    </row>
    <row r="34" spans="1:5" ht="15.75" customHeight="1" x14ac:dyDescent="0.2">
      <c r="A34" s="29" t="s">
        <v>3</v>
      </c>
      <c r="B34" s="29"/>
      <c r="C34" s="29"/>
      <c r="D34" s="29"/>
      <c r="E34" s="29"/>
    </row>
    <row r="35" spans="1:5" ht="15.75" customHeight="1" x14ac:dyDescent="0.25">
      <c r="A35" s="9" t="s">
        <v>11</v>
      </c>
      <c r="B35" s="18">
        <f>(B11/$B$31)</f>
        <v>0.56736651461358012</v>
      </c>
      <c r="C35" s="18">
        <f>(C11/$C$31)</f>
        <v>0.54392829322042113</v>
      </c>
      <c r="D35" s="25">
        <f>(D11/$D$31)</f>
        <v>0.69189840602166375</v>
      </c>
      <c r="E35" s="26">
        <f>(E11/$E$31)</f>
        <v>0.61538461538461542</v>
      </c>
    </row>
    <row r="36" spans="1:5" ht="15.75" customHeight="1" x14ac:dyDescent="0.25">
      <c r="A36" s="9" t="s">
        <v>10</v>
      </c>
      <c r="B36" s="6">
        <f>(B12/$B$31)</f>
        <v>0.34914862437758781</v>
      </c>
      <c r="C36" s="6">
        <f>(C12/$C$31)</f>
        <v>0.16317848796612633</v>
      </c>
      <c r="D36" s="15">
        <f>(D12/$D$31)</f>
        <v>0.41513904361299825</v>
      </c>
      <c r="E36" s="8">
        <f>(E12/$E$31)</f>
        <v>0.15384615384615385</v>
      </c>
    </row>
    <row r="37" spans="1:5" ht="15.75" customHeight="1" x14ac:dyDescent="0.25">
      <c r="A37" s="9" t="s">
        <v>12</v>
      </c>
      <c r="B37" s="7">
        <f>(B13/$B$31)</f>
        <v>0.69829724875517563</v>
      </c>
      <c r="C37" s="7">
        <f>(C13/$C$31)</f>
        <v>0.81589243983063175</v>
      </c>
      <c r="D37" s="16">
        <f>(D13/$D$31)</f>
        <v>0.4612656040144425</v>
      </c>
      <c r="E37" s="17">
        <f>(E13/$E$31)</f>
        <v>0.76923076923076927</v>
      </c>
    </row>
    <row r="38" spans="1:5" ht="15.75" customHeight="1" x14ac:dyDescent="0.25">
      <c r="A38" s="30" t="s">
        <v>13</v>
      </c>
      <c r="B38" s="8">
        <f>(B14/$B$31)</f>
        <v>0.26186146828319085</v>
      </c>
      <c r="C38" s="8">
        <f>(C14/$C$31)</f>
        <v>0.10878565864408422</v>
      </c>
      <c r="D38" s="8">
        <f>(D14/$D$31)</f>
        <v>0.369012483211554</v>
      </c>
      <c r="E38" s="8">
        <f>(E14/$E$31)</f>
        <v>7.6923076923076927E-2</v>
      </c>
    </row>
    <row r="39" spans="1:5" ht="15.75" customHeight="1" x14ac:dyDescent="0.25">
      <c r="A39" s="5"/>
      <c r="B39" s="5"/>
      <c r="C39" s="5"/>
      <c r="D39" s="5"/>
      <c r="E39" s="5"/>
    </row>
    <row r="40" spans="1:5" ht="15.75" customHeight="1" x14ac:dyDescent="0.25">
      <c r="A40" s="5"/>
      <c r="B40" s="5"/>
      <c r="C40" s="5"/>
      <c r="D40" s="5"/>
      <c r="E40" s="5"/>
    </row>
    <row r="41" spans="1:5" ht="15.75" customHeight="1" x14ac:dyDescent="0.2">
      <c r="A41" s="29" t="s">
        <v>4</v>
      </c>
      <c r="B41" s="29"/>
      <c r="C41" s="29"/>
      <c r="D41" s="29"/>
      <c r="E41" s="29"/>
    </row>
    <row r="42" spans="1:5" ht="15.75" customHeight="1" x14ac:dyDescent="0.25">
      <c r="A42" s="9" t="s">
        <v>11</v>
      </c>
      <c r="B42" s="8">
        <f>($B$19*B35)</f>
        <v>0.28368325730679006</v>
      </c>
      <c r="C42" s="8">
        <f>($C$19*C35)</f>
        <v>0.16317848796612633</v>
      </c>
      <c r="D42" s="8">
        <f>($D$19*D35)</f>
        <v>0.13837968120433275</v>
      </c>
      <c r="E42" s="8">
        <f>($E$19*E35)</f>
        <v>0.12307692307692308</v>
      </c>
    </row>
    <row r="43" spans="1:5" ht="15.75" customHeight="1" x14ac:dyDescent="0.25">
      <c r="A43" s="9" t="s">
        <v>10</v>
      </c>
      <c r="B43" s="8">
        <f>($B$19*B36)</f>
        <v>0.17457431218879391</v>
      </c>
      <c r="C43" s="8">
        <f>($C$19*C36)</f>
        <v>4.8953546389837899E-2</v>
      </c>
      <c r="D43" s="8">
        <f>($D$19*D36)</f>
        <v>8.3027808722599655E-2</v>
      </c>
      <c r="E43" s="8">
        <f>($E$19*E36)</f>
        <v>3.0769230769230771E-2</v>
      </c>
    </row>
    <row r="44" spans="1:5" ht="15.75" customHeight="1" x14ac:dyDescent="0.25">
      <c r="A44" s="9" t="s">
        <v>12</v>
      </c>
      <c r="B44" s="8">
        <f>($B$19*B37)</f>
        <v>0.34914862437758781</v>
      </c>
      <c r="C44" s="8">
        <f>($C$19*C37)</f>
        <v>0.24476773194918952</v>
      </c>
      <c r="D44" s="8">
        <f>($D$19*D37)</f>
        <v>9.22531208028885E-2</v>
      </c>
      <c r="E44" s="8">
        <f>($E$19*E37)</f>
        <v>0.15384615384615385</v>
      </c>
    </row>
    <row r="45" spans="1:5" ht="15.75" customHeight="1" x14ac:dyDescent="0.25">
      <c r="A45" s="30" t="s">
        <v>13</v>
      </c>
      <c r="B45" s="8">
        <f>($B$19*B38)</f>
        <v>0.13093073414159542</v>
      </c>
      <c r="C45" s="8">
        <f>($C$19*C38)</f>
        <v>3.2635697593225266E-2</v>
      </c>
      <c r="D45" s="8">
        <f>($D$19*D38)</f>
        <v>7.3802496642310797E-2</v>
      </c>
      <c r="E45" s="8">
        <f>($E$19*E38)</f>
        <v>1.5384615384615385E-2</v>
      </c>
    </row>
    <row r="46" spans="1:5" ht="15.75" customHeight="1" x14ac:dyDescent="0.25">
      <c r="A46" s="5"/>
      <c r="B46" s="5"/>
      <c r="C46" s="5"/>
      <c r="D46" s="5"/>
      <c r="E46" s="5"/>
    </row>
    <row r="47" spans="1:5" ht="15.75" customHeight="1" x14ac:dyDescent="0.25">
      <c r="A47" s="5"/>
      <c r="B47" s="5"/>
      <c r="C47" s="5"/>
      <c r="D47" s="5"/>
      <c r="E47" s="5"/>
    </row>
    <row r="48" spans="1:5" ht="15.75" customHeight="1" x14ac:dyDescent="0.25">
      <c r="A48" s="28" t="s">
        <v>2</v>
      </c>
      <c r="B48" s="28"/>
      <c r="C48" s="5"/>
      <c r="D48" s="5"/>
      <c r="E48" s="5"/>
    </row>
    <row r="49" spans="1:5" ht="15.75" customHeight="1" x14ac:dyDescent="0.25">
      <c r="A49" s="9" t="s">
        <v>11</v>
      </c>
      <c r="B49" s="8">
        <f>SUM($E42,$C42)-$B42-$D42</f>
        <v>-0.1358075274680734</v>
      </c>
      <c r="C49" s="5"/>
      <c r="D49" s="5"/>
      <c r="E49" s="5"/>
    </row>
    <row r="50" spans="1:5" ht="15.75" customHeight="1" x14ac:dyDescent="0.25">
      <c r="A50" s="9" t="s">
        <v>10</v>
      </c>
      <c r="B50" s="8">
        <f>SUM($E43,$C43)-$B43-$D43</f>
        <v>-0.17787934375232489</v>
      </c>
      <c r="C50" s="5"/>
      <c r="D50" s="5"/>
      <c r="E50" s="5"/>
    </row>
    <row r="51" spans="1:5" ht="15.75" customHeight="1" x14ac:dyDescent="0.25">
      <c r="A51" s="9" t="s">
        <v>12</v>
      </c>
      <c r="B51" s="32">
        <f>SUM($E44,$C44)-$B44-$D44</f>
        <v>-4.2787859385132909E-2</v>
      </c>
      <c r="C51" s="5"/>
      <c r="D51" s="5"/>
      <c r="E51" s="5"/>
    </row>
    <row r="52" spans="1:5" ht="15.75" customHeight="1" x14ac:dyDescent="0.25">
      <c r="A52" s="30" t="s">
        <v>13</v>
      </c>
      <c r="B52" s="8">
        <f>SUM($E45,$C45)-$B45-$D45</f>
        <v>-0.15671291780606555</v>
      </c>
      <c r="C52" s="5"/>
      <c r="D52" s="5"/>
      <c r="E52" s="5"/>
    </row>
  </sheetData>
  <mergeCells count="4">
    <mergeCell ref="A22:E22"/>
    <mergeCell ref="A34:E34"/>
    <mergeCell ref="A41:E41"/>
    <mergeCell ref="A48:B48"/>
  </mergeCells>
  <conditionalFormatting sqref="A5:A8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Медведев</dc:creator>
  <cp:lastModifiedBy>Михаил Медведев</cp:lastModifiedBy>
  <dcterms:created xsi:type="dcterms:W3CDTF">2021-03-20T20:44:51Z</dcterms:created>
  <dcterms:modified xsi:type="dcterms:W3CDTF">2021-03-23T21:36:07Z</dcterms:modified>
</cp:coreProperties>
</file>