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dmi\Desktop\study\2 сем\моделирование\"/>
    </mc:Choice>
  </mc:AlternateContent>
  <bookViews>
    <workbookView xWindow="0" yWindow="0" windowWidth="28800" windowHeight="12450"/>
  </bookViews>
  <sheets>
    <sheet name="Fighter Aircraft Probl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36" i="1" s="1"/>
  <c r="E26" i="1"/>
  <c r="E36" i="1" s="1"/>
  <c r="F26" i="1"/>
  <c r="F36" i="1" s="1"/>
  <c r="D27" i="1"/>
  <c r="D37" i="1" s="1"/>
  <c r="E27" i="1"/>
  <c r="E37" i="1" s="1"/>
  <c r="F27" i="1"/>
  <c r="F37" i="1" s="1"/>
  <c r="D28" i="1"/>
  <c r="D38" i="1" s="1"/>
  <c r="E28" i="1"/>
  <c r="E38" i="1" s="1"/>
  <c r="F28" i="1"/>
  <c r="F38" i="1" s="1"/>
  <c r="F25" i="1"/>
  <c r="F35" i="1" s="1"/>
  <c r="E25" i="1"/>
  <c r="E35" i="1" s="1"/>
  <c r="D25" i="1"/>
  <c r="D35" i="1" s="1"/>
  <c r="C26" i="1"/>
  <c r="C36" i="1" s="1"/>
  <c r="C27" i="1"/>
  <c r="C37" i="1" s="1"/>
  <c r="C28" i="1"/>
  <c r="C38" i="1" s="1"/>
  <c r="C25" i="1"/>
  <c r="C35" i="1" s="1"/>
  <c r="C45" i="1" s="1"/>
  <c r="E54" i="1" l="1"/>
  <c r="E53" i="1"/>
  <c r="E68" i="1" s="1"/>
  <c r="E52" i="1"/>
  <c r="E67" i="1" s="1"/>
  <c r="E45" i="1"/>
  <c r="E44" i="1"/>
  <c r="E59" i="1" s="1"/>
  <c r="E43" i="1"/>
  <c r="E74" i="1"/>
  <c r="E47" i="1"/>
  <c r="E46" i="1"/>
  <c r="E48" i="1"/>
  <c r="E63" i="1" s="1"/>
  <c r="E51" i="1"/>
  <c r="E50" i="1"/>
  <c r="E65" i="1" s="1"/>
  <c r="E49" i="1"/>
  <c r="E64" i="1" s="1"/>
  <c r="F43" i="1"/>
  <c r="F58" i="1" s="1"/>
  <c r="F45" i="1"/>
  <c r="F44" i="1"/>
  <c r="F59" i="1" s="1"/>
  <c r="F74" i="1"/>
  <c r="F46" i="1"/>
  <c r="F61" i="1" s="1"/>
  <c r="F48" i="1"/>
  <c r="F63" i="1" s="1"/>
  <c r="F47" i="1"/>
  <c r="F51" i="1"/>
  <c r="F66" i="1" s="1"/>
  <c r="F50" i="1"/>
  <c r="F65" i="1" s="1"/>
  <c r="F49" i="1"/>
  <c r="F64" i="1" s="1"/>
  <c r="F54" i="1"/>
  <c r="F69" i="1" s="1"/>
  <c r="F52" i="1"/>
  <c r="F67" i="1" s="1"/>
  <c r="F53" i="1"/>
  <c r="F68" i="1" s="1"/>
  <c r="D50" i="1"/>
  <c r="D65" i="1" s="1"/>
  <c r="D49" i="1"/>
  <c r="D64" i="1" s="1"/>
  <c r="D51" i="1"/>
  <c r="D66" i="1" s="1"/>
  <c r="D54" i="1"/>
  <c r="D69" i="1" s="1"/>
  <c r="D53" i="1"/>
  <c r="D68" i="1" s="1"/>
  <c r="D52" i="1"/>
  <c r="D67" i="1" s="1"/>
  <c r="D45" i="1"/>
  <c r="D60" i="1" s="1"/>
  <c r="D44" i="1"/>
  <c r="D59" i="1" s="1"/>
  <c r="D43" i="1"/>
  <c r="D58" i="1" s="1"/>
  <c r="D48" i="1"/>
  <c r="D63" i="1" s="1"/>
  <c r="D47" i="1"/>
  <c r="D62" i="1" s="1"/>
  <c r="D46" i="1"/>
  <c r="D61" i="1" s="1"/>
  <c r="C54" i="1"/>
  <c r="C53" i="1"/>
  <c r="C52" i="1"/>
  <c r="C47" i="1"/>
  <c r="C46" i="1"/>
  <c r="C48" i="1"/>
  <c r="C51" i="1"/>
  <c r="C50" i="1"/>
  <c r="C49" i="1"/>
  <c r="C43" i="1"/>
  <c r="C44" i="1"/>
  <c r="E83" i="1"/>
  <c r="E69" i="1"/>
  <c r="F83" i="1"/>
  <c r="F77" i="1"/>
  <c r="C82" i="1"/>
  <c r="F79" i="1"/>
  <c r="E77" i="1"/>
  <c r="C80" i="1"/>
  <c r="C74" i="1"/>
  <c r="C72" i="1"/>
  <c r="C73" i="1"/>
  <c r="E73" i="1"/>
  <c r="E72" i="1"/>
  <c r="D82" i="1"/>
  <c r="D83" i="1"/>
  <c r="D81" i="1"/>
  <c r="D74" i="1"/>
  <c r="D72" i="1"/>
  <c r="D73" i="1"/>
  <c r="D80" i="1"/>
  <c r="F73" i="1"/>
  <c r="F72" i="1"/>
  <c r="C76" i="1"/>
  <c r="C77" i="1"/>
  <c r="C75" i="1"/>
  <c r="D76" i="1"/>
  <c r="D77" i="1"/>
  <c r="D75" i="1"/>
  <c r="E75" i="1"/>
  <c r="C79" i="1"/>
  <c r="C81" i="1"/>
  <c r="E81" i="1"/>
  <c r="E82" i="1"/>
  <c r="C83" i="1"/>
  <c r="F76" i="1"/>
  <c r="F78" i="1"/>
  <c r="D79" i="1"/>
  <c r="F80" i="1"/>
  <c r="F82" i="1"/>
  <c r="E76" i="1"/>
  <c r="C78" i="1"/>
  <c r="E78" i="1"/>
  <c r="E79" i="1"/>
  <c r="E80" i="1"/>
  <c r="F75" i="1"/>
  <c r="D78" i="1"/>
  <c r="F81" i="1"/>
  <c r="I45" i="1" l="1"/>
  <c r="I43" i="1"/>
  <c r="L43" i="1" s="1"/>
  <c r="E66" i="1"/>
  <c r="E58" i="1"/>
  <c r="E61" i="1"/>
  <c r="E60" i="1"/>
  <c r="E62" i="1"/>
  <c r="F62" i="1"/>
  <c r="F60" i="1"/>
  <c r="J82" i="1"/>
  <c r="I44" i="1"/>
  <c r="M43" i="1" s="1"/>
  <c r="I50" i="1"/>
  <c r="L45" i="1" s="1"/>
  <c r="I48" i="1"/>
  <c r="N44" i="1" s="1"/>
  <c r="I52" i="1"/>
  <c r="K46" i="1" s="1"/>
  <c r="J79" i="1"/>
  <c r="J76" i="1"/>
  <c r="N43" i="1"/>
  <c r="I53" i="1"/>
  <c r="L46" i="1" s="1"/>
  <c r="I47" i="1"/>
  <c r="M44" i="1" s="1"/>
  <c r="I51" i="1"/>
  <c r="N45" i="1" s="1"/>
  <c r="J75" i="1"/>
  <c r="J74" i="1"/>
  <c r="J78" i="1"/>
  <c r="J83" i="1"/>
  <c r="J72" i="1"/>
  <c r="I46" i="1"/>
  <c r="K44" i="1" s="1"/>
  <c r="C60" i="1"/>
  <c r="I54" i="1"/>
  <c r="M46" i="1" s="1"/>
  <c r="C64" i="1"/>
  <c r="I78" i="1" s="1"/>
  <c r="I49" i="1"/>
  <c r="K45" i="1" s="1"/>
  <c r="J81" i="1"/>
  <c r="J77" i="1"/>
  <c r="J73" i="1"/>
  <c r="J80" i="1"/>
  <c r="C58" i="1"/>
  <c r="I72" i="1" s="1"/>
  <c r="C59" i="1"/>
  <c r="C61" i="1"/>
  <c r="I75" i="1" s="1"/>
  <c r="C62" i="1"/>
  <c r="C66" i="1"/>
  <c r="C69" i="1"/>
  <c r="C67" i="1"/>
  <c r="I81" i="1" s="1"/>
  <c r="C63" i="1"/>
  <c r="I77" i="1" s="1"/>
  <c r="C65" i="1"/>
  <c r="I79" i="1" s="1"/>
  <c r="C68" i="1"/>
  <c r="I74" i="1" l="1"/>
  <c r="K74" i="1" s="1"/>
  <c r="P72" i="1" s="1"/>
  <c r="I76" i="1"/>
  <c r="K76" i="1" s="1"/>
  <c r="O73" i="1" s="1"/>
  <c r="I80" i="1"/>
  <c r="K80" i="1" s="1"/>
  <c r="P74" i="1" s="1"/>
  <c r="K72" i="1"/>
  <c r="N72" i="1" s="1"/>
  <c r="K79" i="1"/>
  <c r="N74" i="1" s="1"/>
  <c r="I82" i="1"/>
  <c r="K82" i="1" s="1"/>
  <c r="N75" i="1" s="1"/>
  <c r="K77" i="1"/>
  <c r="P73" i="1" s="1"/>
  <c r="I73" i="1"/>
  <c r="K73" i="1" s="1"/>
  <c r="O72" i="1" s="1"/>
  <c r="I83" i="1"/>
  <c r="K83" i="1" s="1"/>
  <c r="O75" i="1" s="1"/>
  <c r="O46" i="1"/>
  <c r="L47" i="1"/>
  <c r="O43" i="1"/>
  <c r="O44" i="1"/>
  <c r="K47" i="1"/>
  <c r="O45" i="1"/>
  <c r="N47" i="1"/>
  <c r="M47" i="1"/>
  <c r="K75" i="1"/>
  <c r="M73" i="1" s="1"/>
  <c r="K81" i="1"/>
  <c r="M75" i="1" s="1"/>
  <c r="K78" i="1"/>
  <c r="M74" i="1" s="1"/>
  <c r="L48" i="1"/>
  <c r="M52" i="1" s="1"/>
  <c r="Q72" i="1" l="1"/>
  <c r="Q74" i="1"/>
  <c r="P76" i="1"/>
  <c r="N76" i="1"/>
  <c r="O76" i="1"/>
  <c r="Q75" i="1"/>
  <c r="S46" i="1"/>
  <c r="L53" i="1"/>
  <c r="K54" i="1"/>
  <c r="S44" i="1"/>
  <c r="S43" i="1"/>
  <c r="M51" i="1"/>
  <c r="L51" i="1"/>
  <c r="S45" i="1"/>
  <c r="Q73" i="1"/>
  <c r="M76" i="1"/>
  <c r="L54" i="1"/>
  <c r="N77" i="1"/>
  <c r="M81" i="1" s="1"/>
  <c r="N51" i="1"/>
  <c r="K53" i="1"/>
  <c r="K52" i="1"/>
  <c r="N52" i="1"/>
  <c r="M54" i="1"/>
  <c r="N53" i="1"/>
  <c r="S72" i="1" l="1"/>
  <c r="S73" i="1"/>
  <c r="S75" i="1"/>
  <c r="S74" i="1"/>
  <c r="S60" i="1"/>
  <c r="S59" i="1"/>
  <c r="S58" i="1"/>
  <c r="S61" i="1"/>
  <c r="M82" i="1"/>
  <c r="M90" i="1" s="1"/>
  <c r="N83" i="1"/>
  <c r="N91" i="1" s="1"/>
  <c r="P80" i="1"/>
  <c r="P88" i="1" s="1"/>
  <c r="N80" i="1"/>
  <c r="N88" i="1" s="1"/>
  <c r="N82" i="1"/>
  <c r="N90" i="1" s="1"/>
  <c r="P81" i="1"/>
  <c r="P89" i="1" s="1"/>
  <c r="O83" i="1"/>
  <c r="O91" i="1" s="1"/>
  <c r="P82" i="1"/>
  <c r="P90" i="1" s="1"/>
  <c r="O80" i="1"/>
  <c r="O88" i="1" s="1"/>
  <c r="O81" i="1"/>
  <c r="O89" i="1" s="1"/>
  <c r="M83" i="1"/>
  <c r="M91" i="1" s="1"/>
  <c r="M89" i="1"/>
  <c r="C11" i="1" l="1"/>
  <c r="C10" i="1"/>
  <c r="C9" i="1"/>
  <c r="C8" i="1"/>
</calcChain>
</file>

<file path=xl/sharedStrings.xml><?xml version="1.0" encoding="utf-8"?>
<sst xmlns="http://schemas.openxmlformats.org/spreadsheetml/2006/main" count="122" uniqueCount="58">
  <si>
    <t>A1</t>
  </si>
  <si>
    <t>A2</t>
  </si>
  <si>
    <t>A3</t>
  </si>
  <si>
    <t>A4</t>
  </si>
  <si>
    <t>Concordance Index</t>
  </si>
  <si>
    <t>---</t>
  </si>
  <si>
    <t>Discordance Index</t>
  </si>
  <si>
    <t>РАНГ 1</t>
  </si>
  <si>
    <t>ИТОГ</t>
  </si>
  <si>
    <t>Price</t>
  </si>
  <si>
    <t>Horsepower</t>
  </si>
  <si>
    <t>Weight</t>
  </si>
  <si>
    <t>condition</t>
  </si>
  <si>
    <t>ВЕС</t>
  </si>
  <si>
    <t xml:space="preserve">Нормализованная </t>
  </si>
  <si>
    <t>Нормализованная с весом</t>
  </si>
  <si>
    <t>Discordance Set</t>
  </si>
  <si>
    <t>Concordance</t>
  </si>
  <si>
    <t>Concordance set</t>
  </si>
  <si>
    <t>Значение</t>
  </si>
  <si>
    <t>Discordance</t>
  </si>
  <si>
    <t>Входные данные</t>
  </si>
  <si>
    <t>Метод ELECTRE</t>
  </si>
  <si>
    <t>РАНГ 2</t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</si>
  <si>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12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</si>
  <si>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13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</si>
  <si>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14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</si>
  <si>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21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</si>
  <si>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23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</si>
  <si>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24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</si>
  <si>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31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</si>
  <si>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32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</si>
  <si>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34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</si>
  <si>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41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</si>
  <si>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42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</si>
  <si>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43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</si>
  <si>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12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</si>
  <si>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13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</si>
  <si>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14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</si>
  <si>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21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</si>
  <si>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23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</si>
  <si>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24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</si>
  <si>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31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</si>
  <si>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32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</si>
  <si>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34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</si>
  <si>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41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</si>
  <si>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42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</si>
  <si>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43</t>
    </r>
  </si>
  <si>
    <r>
      <t>Max d</t>
    </r>
    <r>
      <rPr>
        <vertAlign val="subscript"/>
        <sz val="11"/>
        <rFont val="Calibri"/>
        <family val="2"/>
        <charset val="204"/>
        <scheme val="minor"/>
      </rPr>
      <t>ij</t>
    </r>
  </si>
  <si>
    <t>Max dj</t>
  </si>
  <si>
    <t>Word 2016</t>
  </si>
  <si>
    <t>EmEditor</t>
  </si>
  <si>
    <t>Adobe Acrobat</t>
  </si>
  <si>
    <t>Iceni Infix</t>
  </si>
  <si>
    <t>Цена</t>
  </si>
  <si>
    <t>Функционал</t>
  </si>
  <si>
    <t>Сложность</t>
  </si>
  <si>
    <t>Интерфейс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</si>
</sst>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wrapText="1"/>
    </xf>
    <xf numFmtId="164" fontId="1" fillId="0" borderId="0" xfId="0" applyNumberFormat="1" applyFont="1" applyBorder="1" applyAlignment="1">
      <alignment wrapText="1"/>
    </xf>
    <xf numFmtId="0" fontId="1" fillId="0" borderId="0" xfId="0" applyFont="1"/>
    <xf numFmtId="0" fontId="1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8" fillId="0" borderId="1" xfId="0" applyFont="1" applyBorder="1" applyAlignment="1"/>
    <xf numFmtId="0" fontId="9" fillId="0" borderId="1" xfId="0" applyFont="1" applyBorder="1" applyAlignment="1"/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</cellXfs>
  <cellStyles count="2">
    <cellStyle name="Обычный" xfId="0" builtinId="0"/>
    <cellStyle name="Хороший" xfId="1" builtinId="26" customBuiltin="1"/>
  </cellStyles>
  <dxfs count="4"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91"/>
  <sheetViews>
    <sheetView tabSelected="1" topLeftCell="I55" zoomScale="85" zoomScaleNormal="85" workbookViewId="0">
      <selection activeCell="O62" sqref="O62"/>
    </sheetView>
  </sheetViews>
  <sheetFormatPr defaultRowHeight="15" x14ac:dyDescent="0.25"/>
  <cols>
    <col min="1" max="1" width="9.140625" style="1"/>
    <col min="2" max="2" width="21.42578125" style="1" customWidth="1"/>
    <col min="3" max="3" width="17.5703125" style="1" customWidth="1"/>
    <col min="4" max="4" width="9.5703125" style="1" customWidth="1"/>
    <col min="5" max="5" width="10.28515625" style="1" bestFit="1" customWidth="1"/>
    <col min="6" max="6" width="11.85546875" style="1" bestFit="1" customWidth="1"/>
    <col min="7" max="7" width="10.28515625" style="1" bestFit="1" customWidth="1"/>
    <col min="8" max="8" width="12.85546875" style="1" customWidth="1"/>
    <col min="9" max="9" width="17.85546875" style="1" customWidth="1"/>
    <col min="10" max="10" width="9.5703125" style="1" bestFit="1" customWidth="1"/>
    <col min="11" max="11" width="15.5703125" style="1" customWidth="1"/>
    <col min="12" max="12" width="11.85546875" style="1" customWidth="1"/>
    <col min="13" max="13" width="12" style="1" customWidth="1"/>
    <col min="14" max="14" width="12.85546875" style="1" customWidth="1"/>
    <col min="15" max="15" width="9.5703125" style="1" bestFit="1" customWidth="1"/>
    <col min="16" max="16" width="12.85546875" style="1" customWidth="1"/>
    <col min="17" max="17" width="13" style="1" customWidth="1"/>
    <col min="18" max="18" width="16.28515625" style="1" customWidth="1"/>
    <col min="19" max="19" width="17.7109375" style="1" bestFit="1" customWidth="1"/>
    <col min="20" max="16384" width="9.140625" style="1"/>
  </cols>
  <sheetData>
    <row r="2" spans="2:8" x14ac:dyDescent="0.25">
      <c r="B2" s="27" t="s">
        <v>22</v>
      </c>
      <c r="C2" s="27"/>
      <c r="D2" s="27"/>
      <c r="E2" s="27"/>
      <c r="F2" s="27"/>
    </row>
    <row r="3" spans="2:8" ht="18.75" customHeight="1" x14ac:dyDescent="0.25">
      <c r="B3" s="27"/>
      <c r="C3" s="27"/>
      <c r="D3" s="27"/>
      <c r="E3" s="27"/>
      <c r="F3" s="27"/>
    </row>
    <row r="4" spans="2:8" ht="18.75" customHeight="1" x14ac:dyDescent="0.25">
      <c r="B4" s="27"/>
      <c r="C4" s="27"/>
      <c r="D4" s="27"/>
      <c r="E4" s="27"/>
      <c r="F4" s="27"/>
    </row>
    <row r="5" spans="2:8" x14ac:dyDescent="0.25">
      <c r="D5" s="2"/>
    </row>
    <row r="6" spans="2:8" x14ac:dyDescent="0.25">
      <c r="D6" s="2"/>
    </row>
    <row r="7" spans="2:8" x14ac:dyDescent="0.25">
      <c r="B7" s="26" t="s">
        <v>7</v>
      </c>
      <c r="C7" s="26"/>
      <c r="D7" s="2"/>
    </row>
    <row r="8" spans="2:8" x14ac:dyDescent="0.25">
      <c r="B8" s="33" t="s">
        <v>50</v>
      </c>
      <c r="C8" s="4">
        <f>ABS(_xlfn.RANK.EQ(S72,$S$72:$S$75)-4)+1</f>
        <v>2</v>
      </c>
    </row>
    <row r="9" spans="2:8" x14ac:dyDescent="0.25">
      <c r="B9" s="33" t="s">
        <v>51</v>
      </c>
      <c r="C9" s="4">
        <f>ABS(_xlfn.RANK.EQ(S73,$S$72:$S$75)-4)+1</f>
        <v>3</v>
      </c>
    </row>
    <row r="10" spans="2:8" x14ac:dyDescent="0.25">
      <c r="B10" s="33" t="s">
        <v>52</v>
      </c>
      <c r="C10" s="4">
        <f>ABS(_xlfn.RANK.EQ(S74,$S$72:$S$75)-4)+1</f>
        <v>1</v>
      </c>
    </row>
    <row r="11" spans="2:8" x14ac:dyDescent="0.25">
      <c r="B11" s="34" t="s">
        <v>53</v>
      </c>
      <c r="C11" s="4">
        <f>ABS(_xlfn.RANK.EQ(S75,$S$72:$S$75)-4)+1</f>
        <v>4</v>
      </c>
      <c r="D11" s="5"/>
      <c r="E11" s="5"/>
      <c r="F11" s="5"/>
      <c r="G11" s="5"/>
      <c r="H11" s="5"/>
    </row>
    <row r="12" spans="2:8" x14ac:dyDescent="0.25">
      <c r="C12" s="6"/>
      <c r="D12" s="6"/>
      <c r="E12" s="6"/>
      <c r="F12" s="6"/>
      <c r="G12" s="6"/>
      <c r="H12" s="6"/>
    </row>
    <row r="13" spans="2:8" x14ac:dyDescent="0.25">
      <c r="C13" s="6"/>
      <c r="D13" s="6"/>
      <c r="E13" s="6"/>
      <c r="F13" s="6"/>
      <c r="G13" s="6"/>
      <c r="H13" s="6"/>
    </row>
    <row r="14" spans="2:8" ht="30" x14ac:dyDescent="0.25">
      <c r="B14" s="7" t="s">
        <v>21</v>
      </c>
      <c r="C14" s="35" t="s">
        <v>54</v>
      </c>
      <c r="D14" s="36" t="s">
        <v>55</v>
      </c>
      <c r="E14" s="35" t="s">
        <v>56</v>
      </c>
      <c r="F14" s="35" t="s">
        <v>57</v>
      </c>
      <c r="G14" s="6"/>
      <c r="H14" s="6"/>
    </row>
    <row r="15" spans="2:8" x14ac:dyDescent="0.25">
      <c r="B15" s="33" t="s">
        <v>50</v>
      </c>
      <c r="C15" s="37">
        <v>13000</v>
      </c>
      <c r="D15" s="37">
        <v>10000</v>
      </c>
      <c r="E15" s="37">
        <v>1500</v>
      </c>
      <c r="F15" s="37">
        <v>8000</v>
      </c>
      <c r="G15" s="2"/>
      <c r="H15" s="2"/>
    </row>
    <row r="16" spans="2:8" x14ac:dyDescent="0.25">
      <c r="B16" s="33" t="s">
        <v>51</v>
      </c>
      <c r="C16" s="37">
        <v>8000</v>
      </c>
      <c r="D16" s="37">
        <v>3000</v>
      </c>
      <c r="E16" s="37">
        <v>900</v>
      </c>
      <c r="F16" s="37">
        <v>2000</v>
      </c>
      <c r="G16" s="2"/>
      <c r="H16" s="2"/>
    </row>
    <row r="17" spans="2:13" x14ac:dyDescent="0.25">
      <c r="B17" s="33" t="s">
        <v>52</v>
      </c>
      <c r="C17" s="37">
        <v>16000</v>
      </c>
      <c r="D17" s="37">
        <v>15000</v>
      </c>
      <c r="E17" s="37">
        <v>1000</v>
      </c>
      <c r="F17" s="37">
        <v>10000</v>
      </c>
      <c r="G17" s="2"/>
      <c r="H17" s="2"/>
    </row>
    <row r="18" spans="2:13" x14ac:dyDescent="0.25">
      <c r="B18" s="34" t="s">
        <v>53</v>
      </c>
      <c r="C18" s="37">
        <v>6000</v>
      </c>
      <c r="D18" s="37">
        <v>200</v>
      </c>
      <c r="E18" s="37">
        <v>800</v>
      </c>
      <c r="F18" s="37">
        <v>1000</v>
      </c>
      <c r="G18" s="2"/>
      <c r="H18" s="2"/>
    </row>
    <row r="19" spans="2:13" x14ac:dyDescent="0.25">
      <c r="G19" s="2"/>
      <c r="H19" s="2"/>
    </row>
    <row r="20" spans="2:13" x14ac:dyDescent="0.25">
      <c r="B20" s="2"/>
      <c r="C20" s="2"/>
      <c r="H20" s="2"/>
    </row>
    <row r="21" spans="2:13" x14ac:dyDescent="0.25">
      <c r="G21" s="2"/>
      <c r="H21" s="2"/>
    </row>
    <row r="22" spans="2:13" x14ac:dyDescent="0.25">
      <c r="C22" s="6"/>
      <c r="D22" s="6"/>
      <c r="E22" s="6"/>
      <c r="F22" s="6"/>
      <c r="G22" s="6"/>
      <c r="H22" s="6"/>
    </row>
    <row r="23" spans="2:13" x14ac:dyDescent="0.25">
      <c r="C23" s="6"/>
      <c r="D23" s="6"/>
      <c r="E23" s="6"/>
      <c r="F23" s="6"/>
      <c r="G23" s="6"/>
      <c r="H23" s="6"/>
    </row>
    <row r="24" spans="2:13" ht="30" x14ac:dyDescent="0.25">
      <c r="B24" s="7" t="s">
        <v>14</v>
      </c>
      <c r="C24" s="8" t="s">
        <v>9</v>
      </c>
      <c r="D24" s="9" t="s">
        <v>10</v>
      </c>
      <c r="E24" s="8" t="s">
        <v>11</v>
      </c>
      <c r="F24" s="8" t="s">
        <v>12</v>
      </c>
      <c r="G24" s="6"/>
      <c r="H24" s="6"/>
    </row>
    <row r="25" spans="2:13" x14ac:dyDescent="0.25">
      <c r="B25" s="33" t="s">
        <v>50</v>
      </c>
      <c r="C25" s="10">
        <f t="shared" ref="C25:F28" si="0">C15/SQRT(SUMSQ(C$15:C$18))</f>
        <v>0.56736651461358012</v>
      </c>
      <c r="D25" s="10">
        <f t="shared" si="0"/>
        <v>0.54714289309796271</v>
      </c>
      <c r="E25" s="10">
        <f t="shared" si="0"/>
        <v>0.69189840602166375</v>
      </c>
      <c r="F25" s="10">
        <f t="shared" si="0"/>
        <v>0.61538461538461542</v>
      </c>
      <c r="G25" s="11"/>
      <c r="H25" s="11"/>
    </row>
    <row r="26" spans="2:13" x14ac:dyDescent="0.25">
      <c r="B26" s="33" t="s">
        <v>51</v>
      </c>
      <c r="C26" s="10">
        <f t="shared" si="0"/>
        <v>0.34914862437758781</v>
      </c>
      <c r="D26" s="10">
        <f t="shared" si="0"/>
        <v>0.16414286792938881</v>
      </c>
      <c r="E26" s="10">
        <f t="shared" si="0"/>
        <v>0.41513904361299825</v>
      </c>
      <c r="F26" s="10">
        <f t="shared" si="0"/>
        <v>0.15384615384615385</v>
      </c>
      <c r="G26" s="11"/>
      <c r="H26" s="11"/>
    </row>
    <row r="27" spans="2:13" x14ac:dyDescent="0.25">
      <c r="B27" s="33" t="s">
        <v>52</v>
      </c>
      <c r="C27" s="10">
        <f t="shared" si="0"/>
        <v>0.69829724875517563</v>
      </c>
      <c r="D27" s="10">
        <f t="shared" si="0"/>
        <v>0.82071433964694407</v>
      </c>
      <c r="E27" s="10">
        <f t="shared" si="0"/>
        <v>0.4612656040144425</v>
      </c>
      <c r="F27" s="10">
        <f t="shared" si="0"/>
        <v>0.76923076923076927</v>
      </c>
      <c r="G27" s="11"/>
      <c r="H27" s="11"/>
      <c r="K27" s="2"/>
      <c r="L27" s="2"/>
      <c r="M27" s="2"/>
    </row>
    <row r="28" spans="2:13" x14ac:dyDescent="0.25">
      <c r="B28" s="34" t="s">
        <v>53</v>
      </c>
      <c r="C28" s="10">
        <f t="shared" si="0"/>
        <v>0.26186146828319085</v>
      </c>
      <c r="D28" s="10">
        <f t="shared" si="0"/>
        <v>1.0942857861959254E-2</v>
      </c>
      <c r="E28" s="10">
        <f t="shared" si="0"/>
        <v>0.369012483211554</v>
      </c>
      <c r="F28" s="10">
        <f t="shared" si="0"/>
        <v>7.6923076923076927E-2</v>
      </c>
      <c r="G28" s="11"/>
      <c r="H28" s="11"/>
      <c r="K28" s="2"/>
      <c r="L28" s="2"/>
      <c r="M28" s="2"/>
    </row>
    <row r="29" spans="2:13" x14ac:dyDescent="0.25">
      <c r="G29" s="2"/>
      <c r="H29" s="2"/>
      <c r="K29" s="2"/>
      <c r="L29" s="2"/>
      <c r="M29" s="2"/>
    </row>
    <row r="30" spans="2:13" x14ac:dyDescent="0.25">
      <c r="B30" s="12"/>
      <c r="C30" s="12"/>
      <c r="D30" s="12"/>
      <c r="E30" s="12"/>
      <c r="G30" s="2"/>
      <c r="H30" s="2"/>
      <c r="K30" s="2"/>
      <c r="L30" s="2"/>
      <c r="M30" s="2"/>
    </row>
    <row r="31" spans="2:13" x14ac:dyDescent="0.25">
      <c r="B31" s="7" t="s">
        <v>13</v>
      </c>
      <c r="C31" s="3">
        <v>0.5</v>
      </c>
      <c r="D31" s="3">
        <v>0.3</v>
      </c>
      <c r="E31" s="3">
        <v>0.2</v>
      </c>
      <c r="F31" s="3">
        <v>0.2</v>
      </c>
      <c r="G31" s="2"/>
      <c r="H31" s="2"/>
      <c r="K31" s="2"/>
      <c r="L31" s="2"/>
      <c r="M31" s="2"/>
    </row>
    <row r="32" spans="2:13" x14ac:dyDescent="0.25">
      <c r="C32" s="6"/>
      <c r="D32" s="6"/>
      <c r="E32" s="6"/>
      <c r="F32" s="6"/>
      <c r="G32" s="6"/>
      <c r="H32" s="6"/>
      <c r="K32" s="2"/>
      <c r="L32" s="2"/>
      <c r="M32" s="2"/>
    </row>
    <row r="33" spans="2:19" x14ac:dyDescent="0.25">
      <c r="C33" s="6"/>
      <c r="D33" s="6"/>
      <c r="E33" s="6"/>
      <c r="F33" s="6"/>
      <c r="G33" s="6"/>
      <c r="H33" s="6"/>
      <c r="K33" s="2"/>
      <c r="L33" s="2"/>
      <c r="M33" s="2"/>
    </row>
    <row r="34" spans="2:19" ht="30" x14ac:dyDescent="0.25">
      <c r="B34" s="7" t="s">
        <v>15</v>
      </c>
      <c r="C34" s="8" t="s">
        <v>9</v>
      </c>
      <c r="D34" s="9" t="s">
        <v>10</v>
      </c>
      <c r="E34" s="8" t="s">
        <v>11</v>
      </c>
      <c r="F34" s="8" t="s">
        <v>12</v>
      </c>
      <c r="G34" s="6"/>
      <c r="H34" s="6"/>
      <c r="K34" s="2"/>
      <c r="L34" s="2"/>
      <c r="M34" s="2"/>
    </row>
    <row r="35" spans="2:19" x14ac:dyDescent="0.25">
      <c r="B35" s="4" t="s">
        <v>0</v>
      </c>
      <c r="C35" s="10">
        <f t="shared" ref="C35:F38" si="1">+C$31*C25</f>
        <v>0.28368325730679006</v>
      </c>
      <c r="D35" s="10">
        <f t="shared" si="1"/>
        <v>0.16414286792938881</v>
      </c>
      <c r="E35" s="10">
        <f t="shared" si="1"/>
        <v>0.13837968120433275</v>
      </c>
      <c r="F35" s="10">
        <f t="shared" si="1"/>
        <v>0.12307692307692308</v>
      </c>
      <c r="G35" s="11"/>
      <c r="H35" s="11"/>
      <c r="K35" s="2"/>
      <c r="L35" s="2"/>
      <c r="M35" s="2"/>
    </row>
    <row r="36" spans="2:19" x14ac:dyDescent="0.25">
      <c r="B36" s="4" t="s">
        <v>1</v>
      </c>
      <c r="C36" s="10">
        <f t="shared" si="1"/>
        <v>0.17457431218879391</v>
      </c>
      <c r="D36" s="10">
        <f t="shared" si="1"/>
        <v>4.9242860378816644E-2</v>
      </c>
      <c r="E36" s="10">
        <f t="shared" si="1"/>
        <v>8.3027808722599655E-2</v>
      </c>
      <c r="F36" s="10">
        <f t="shared" si="1"/>
        <v>3.0769230769230771E-2</v>
      </c>
      <c r="G36" s="11"/>
      <c r="H36" s="11"/>
      <c r="K36" s="2"/>
      <c r="L36" s="2"/>
      <c r="M36" s="2"/>
    </row>
    <row r="37" spans="2:19" x14ac:dyDescent="0.25">
      <c r="B37" s="4" t="s">
        <v>2</v>
      </c>
      <c r="C37" s="10">
        <f t="shared" si="1"/>
        <v>0.34914862437758781</v>
      </c>
      <c r="D37" s="10">
        <f t="shared" si="1"/>
        <v>0.24621430189408322</v>
      </c>
      <c r="E37" s="10">
        <f t="shared" si="1"/>
        <v>9.22531208028885E-2</v>
      </c>
      <c r="F37" s="10">
        <f t="shared" si="1"/>
        <v>0.15384615384615385</v>
      </c>
      <c r="G37" s="11"/>
      <c r="H37" s="11"/>
      <c r="K37" s="2"/>
      <c r="L37" s="2"/>
      <c r="M37" s="2"/>
    </row>
    <row r="38" spans="2:19" x14ac:dyDescent="0.25">
      <c r="B38" s="4" t="s">
        <v>3</v>
      </c>
      <c r="C38" s="10">
        <f t="shared" si="1"/>
        <v>0.13093073414159542</v>
      </c>
      <c r="D38" s="10">
        <f t="shared" si="1"/>
        <v>3.2828573585877764E-3</v>
      </c>
      <c r="E38" s="10">
        <f t="shared" si="1"/>
        <v>7.3802496642310797E-2</v>
      </c>
      <c r="F38" s="10">
        <f t="shared" si="1"/>
        <v>1.5384615384615385E-2</v>
      </c>
      <c r="G38" s="11"/>
      <c r="H38" s="11"/>
      <c r="K38" s="2"/>
      <c r="L38" s="2"/>
      <c r="M38" s="2"/>
    </row>
    <row r="39" spans="2:19" x14ac:dyDescent="0.25">
      <c r="G39" s="2"/>
      <c r="H39" s="2"/>
    </row>
    <row r="40" spans="2:19" x14ac:dyDescent="0.25">
      <c r="B40" s="12"/>
      <c r="C40" s="12"/>
      <c r="D40" s="12"/>
      <c r="E40" s="12"/>
      <c r="F40" s="12"/>
      <c r="G40" s="13"/>
      <c r="H40" s="13"/>
    </row>
    <row r="41" spans="2:19" x14ac:dyDescent="0.25">
      <c r="C41" s="2"/>
      <c r="D41" s="2"/>
      <c r="E41" s="2"/>
      <c r="F41" s="2"/>
      <c r="G41" s="2"/>
      <c r="H41" s="2"/>
    </row>
    <row r="42" spans="2:19" ht="30" x14ac:dyDescent="0.25">
      <c r="B42" s="24" t="s">
        <v>18</v>
      </c>
      <c r="C42" s="8" t="s">
        <v>9</v>
      </c>
      <c r="D42" s="9" t="s">
        <v>10</v>
      </c>
      <c r="E42" s="8" t="s">
        <v>11</v>
      </c>
      <c r="F42" s="8" t="s">
        <v>12</v>
      </c>
      <c r="G42" s="6"/>
      <c r="H42" s="6"/>
      <c r="I42" s="24" t="s">
        <v>4</v>
      </c>
      <c r="K42" s="28" t="s">
        <v>17</v>
      </c>
      <c r="L42" s="28"/>
      <c r="M42" s="28"/>
      <c r="N42" s="28"/>
      <c r="O42" s="28"/>
      <c r="S42" s="14" t="s">
        <v>8</v>
      </c>
    </row>
    <row r="43" spans="2:19" ht="18" x14ac:dyDescent="0.35">
      <c r="B43" s="4" t="s">
        <v>24</v>
      </c>
      <c r="C43" s="4">
        <f>IF(C$35&lt;=C36,1,0)</f>
        <v>0</v>
      </c>
      <c r="D43" s="4">
        <f>IF(D$35&gt;=D36,1,0)</f>
        <v>1</v>
      </c>
      <c r="E43" s="4">
        <f>IF(E$35&lt;=E36,1,0)</f>
        <v>0</v>
      </c>
      <c r="F43" s="4">
        <f>IF(F$35&gt;=F36,1,0)</f>
        <v>1</v>
      </c>
      <c r="G43" s="2"/>
      <c r="H43" s="2"/>
      <c r="I43" s="4">
        <f t="shared" ref="I43:I54" si="2">C43*C$31+D43*D$31+E43*E$31+F43*F$31</f>
        <v>0.5</v>
      </c>
      <c r="K43" s="15" t="s">
        <v>5</v>
      </c>
      <c r="L43" s="16">
        <f>+I43</f>
        <v>0.5</v>
      </c>
      <c r="M43" s="16">
        <f>+I44</f>
        <v>0.5</v>
      </c>
      <c r="N43" s="16">
        <f>+I45</f>
        <v>0.5</v>
      </c>
      <c r="O43" s="17">
        <f>SUM(K43:N43)</f>
        <v>1.5</v>
      </c>
      <c r="S43" s="18">
        <f>O43-K47</f>
        <v>-0.59999999999999964</v>
      </c>
    </row>
    <row r="44" spans="2:19" ht="18" x14ac:dyDescent="0.35">
      <c r="B44" s="4" t="s">
        <v>25</v>
      </c>
      <c r="C44" s="4">
        <f>IF(C$35&lt;=C37,1,0)</f>
        <v>1</v>
      </c>
      <c r="D44" s="4">
        <f>IF(D$35&gt;=D37,1,0)</f>
        <v>0</v>
      </c>
      <c r="E44" s="4">
        <f>IF(E$35&lt;=E37,1,0)</f>
        <v>0</v>
      </c>
      <c r="F44" s="4">
        <f>IF(F$35&gt;=F37,1,0)</f>
        <v>0</v>
      </c>
      <c r="G44" s="2"/>
      <c r="H44" s="2"/>
      <c r="I44" s="4">
        <f t="shared" si="2"/>
        <v>0.5</v>
      </c>
      <c r="K44" s="16">
        <f>+I46</f>
        <v>0.7</v>
      </c>
      <c r="L44" s="15" t="s">
        <v>5</v>
      </c>
      <c r="M44" s="16">
        <f>+I47</f>
        <v>0.7</v>
      </c>
      <c r="N44" s="16">
        <f>+I48</f>
        <v>0.5</v>
      </c>
      <c r="O44" s="17">
        <f t="shared" ref="O44:O46" si="3">SUM(K44:N44)</f>
        <v>1.9</v>
      </c>
      <c r="S44" s="18">
        <f>O44-L47</f>
        <v>0.19999999999999996</v>
      </c>
    </row>
    <row r="45" spans="2:19" ht="18" x14ac:dyDescent="0.35">
      <c r="B45" s="4" t="s">
        <v>26</v>
      </c>
      <c r="C45" s="4">
        <f>IF(C$35&lt;=C38,1,0)</f>
        <v>0</v>
      </c>
      <c r="D45" s="4">
        <f>IF(D$35&gt;=D38,1,0)</f>
        <v>1</v>
      </c>
      <c r="E45" s="4">
        <f>IF(E$35&lt;=E38,1,0)</f>
        <v>0</v>
      </c>
      <c r="F45" s="4">
        <f>IF(F$35&gt;=F38,1,0)</f>
        <v>1</v>
      </c>
      <c r="G45" s="2"/>
      <c r="H45" s="2"/>
      <c r="I45" s="4">
        <f t="shared" si="2"/>
        <v>0.5</v>
      </c>
      <c r="K45" s="16">
        <f>+I49</f>
        <v>0.7</v>
      </c>
      <c r="L45" s="16">
        <f>+I50</f>
        <v>0.5</v>
      </c>
      <c r="M45" s="15" t="s">
        <v>5</v>
      </c>
      <c r="N45" s="16">
        <f>+I51</f>
        <v>0.5</v>
      </c>
      <c r="O45" s="17">
        <f t="shared" si="3"/>
        <v>1.7</v>
      </c>
      <c r="S45" s="18">
        <f>O45-M47</f>
        <v>-0.19999999999999996</v>
      </c>
    </row>
    <row r="46" spans="2:19" ht="18" x14ac:dyDescent="0.35">
      <c r="B46" s="4" t="s">
        <v>27</v>
      </c>
      <c r="C46" s="4">
        <f>IF(C$36&lt;=C35,1,0)</f>
        <v>1</v>
      </c>
      <c r="D46" s="4">
        <f>IF(D$36&gt;=D35,1,0)</f>
        <v>0</v>
      </c>
      <c r="E46" s="4">
        <f>IF(E$36&lt;=E35,1,0)</f>
        <v>1</v>
      </c>
      <c r="F46" s="4">
        <f>IF(F$36&gt;=F35,1,0)</f>
        <v>0</v>
      </c>
      <c r="G46" s="2"/>
      <c r="H46" s="2"/>
      <c r="I46" s="4">
        <f t="shared" si="2"/>
        <v>0.7</v>
      </c>
      <c r="K46" s="16">
        <f>+I52</f>
        <v>0.7</v>
      </c>
      <c r="L46" s="16">
        <f>+I53</f>
        <v>0.7</v>
      </c>
      <c r="M46" s="16">
        <f>+I54</f>
        <v>0.7</v>
      </c>
      <c r="N46" s="15" t="s">
        <v>5</v>
      </c>
      <c r="O46" s="17">
        <f t="shared" si="3"/>
        <v>2.0999999999999996</v>
      </c>
      <c r="S46" s="18">
        <f>O46-N47</f>
        <v>0.59999999999999964</v>
      </c>
    </row>
    <row r="47" spans="2:19" ht="18" x14ac:dyDescent="0.35">
      <c r="B47" s="4" t="s">
        <v>28</v>
      </c>
      <c r="C47" s="4">
        <f>IF(C$36&lt;=C37,1,0)</f>
        <v>1</v>
      </c>
      <c r="D47" s="4">
        <f>IF(D$36&gt;=D37,1,0)</f>
        <v>0</v>
      </c>
      <c r="E47" s="4">
        <f>IF(E$36&lt;=E37,1,0)</f>
        <v>1</v>
      </c>
      <c r="F47" s="4">
        <f>IF(F$36&gt;=F37,1,0)</f>
        <v>0</v>
      </c>
      <c r="G47" s="2"/>
      <c r="H47" s="2"/>
      <c r="I47" s="4">
        <f t="shared" si="2"/>
        <v>0.7</v>
      </c>
      <c r="K47" s="17">
        <f>SUM(K43:K46)</f>
        <v>2.0999999999999996</v>
      </c>
      <c r="L47" s="17">
        <f t="shared" ref="L47:N47" si="4">SUM(L43:L46)</f>
        <v>1.7</v>
      </c>
      <c r="M47" s="17">
        <f t="shared" si="4"/>
        <v>1.9</v>
      </c>
      <c r="N47" s="17">
        <f t="shared" si="4"/>
        <v>1.5</v>
      </c>
    </row>
    <row r="48" spans="2:19" ht="18" x14ac:dyDescent="0.35">
      <c r="B48" s="4" t="s">
        <v>29</v>
      </c>
      <c r="C48" s="4">
        <f>IF(C$36&lt;=C38,1,0)</f>
        <v>0</v>
      </c>
      <c r="D48" s="4">
        <f>IF(D$36&gt;=D38,1,0)</f>
        <v>1</v>
      </c>
      <c r="E48" s="4">
        <f>IF(E$36&lt;=E38,1,0)</f>
        <v>0</v>
      </c>
      <c r="F48" s="4">
        <f>IF(F$36&gt;=F38,1,0)</f>
        <v>1</v>
      </c>
      <c r="G48" s="2"/>
      <c r="H48" s="2"/>
      <c r="I48" s="4">
        <f t="shared" si="2"/>
        <v>0.5</v>
      </c>
      <c r="K48" s="19" t="s">
        <v>19</v>
      </c>
      <c r="L48" s="4">
        <f>(L43+M43+N43+K44+M44+N44+K45+L45+N45+K46+L46+M46)/(4*3)</f>
        <v>0.60000000000000009</v>
      </c>
    </row>
    <row r="49" spans="2:19" ht="18" x14ac:dyDescent="0.35">
      <c r="B49" s="4" t="s">
        <v>30</v>
      </c>
      <c r="C49" s="4">
        <f>IF(C$37&lt;=C35,1,0)</f>
        <v>0</v>
      </c>
      <c r="D49" s="4">
        <f>IF(D$37&gt;=D35,1,0)</f>
        <v>1</v>
      </c>
      <c r="E49" s="4">
        <f>IF(E$37&lt;=E35,1,0)</f>
        <v>1</v>
      </c>
      <c r="F49" s="4">
        <f>IF(F$37&gt;=F35,1,0)</f>
        <v>1</v>
      </c>
      <c r="G49" s="2"/>
      <c r="H49" s="2"/>
      <c r="I49" s="4">
        <f t="shared" si="2"/>
        <v>0.7</v>
      </c>
    </row>
    <row r="50" spans="2:19" ht="18" customHeight="1" x14ac:dyDescent="0.35">
      <c r="B50" s="4" t="s">
        <v>31</v>
      </c>
      <c r="C50" s="4">
        <f>IF(C$37&lt;=C36,1,0)</f>
        <v>0</v>
      </c>
      <c r="D50" s="4">
        <f>IF(D$37&gt;=D36,1,0)</f>
        <v>1</v>
      </c>
      <c r="E50" s="4">
        <f>IF(E$37&lt;=E36,1,0)</f>
        <v>0</v>
      </c>
      <c r="F50" s="4">
        <f>IF(F$37&gt;=F36,1,0)</f>
        <v>1</v>
      </c>
      <c r="G50" s="2"/>
      <c r="H50" s="2"/>
      <c r="I50" s="4">
        <f t="shared" si="2"/>
        <v>0.5</v>
      </c>
      <c r="K50" s="28" t="s">
        <v>17</v>
      </c>
      <c r="L50" s="28"/>
      <c r="M50" s="28"/>
      <c r="N50" s="28"/>
    </row>
    <row r="51" spans="2:19" ht="18" x14ac:dyDescent="0.35">
      <c r="B51" s="4" t="s">
        <v>32</v>
      </c>
      <c r="C51" s="4">
        <f>IF(C$37&lt;=C38,1,0)</f>
        <v>0</v>
      </c>
      <c r="D51" s="4">
        <f>IF(D$37&gt;=D38,1,0)</f>
        <v>1</v>
      </c>
      <c r="E51" s="4">
        <f>IF(E$37&lt;=E38,1,0)</f>
        <v>0</v>
      </c>
      <c r="F51" s="4">
        <f>IF(F$37&gt;=F38,1,0)</f>
        <v>1</v>
      </c>
      <c r="G51" s="2"/>
      <c r="H51" s="2"/>
      <c r="I51" s="4">
        <f t="shared" si="2"/>
        <v>0.5</v>
      </c>
      <c r="K51" s="15" t="s">
        <v>5</v>
      </c>
      <c r="L51" s="16">
        <f>IF(L43&lt;$L$48,0,1)</f>
        <v>0</v>
      </c>
      <c r="M51" s="16">
        <f>IF(M43&lt;$L$48,0,1)</f>
        <v>0</v>
      </c>
      <c r="N51" s="16">
        <f>IF(N43&lt;$L$48,0,1)</f>
        <v>0</v>
      </c>
    </row>
    <row r="52" spans="2:19" ht="18" x14ac:dyDescent="0.35">
      <c r="B52" s="4" t="s">
        <v>33</v>
      </c>
      <c r="C52" s="4">
        <f>IF(C$38&lt;=C35,1,0)</f>
        <v>1</v>
      </c>
      <c r="D52" s="4">
        <f>IF(D$38&gt;=D35,1,0)</f>
        <v>0</v>
      </c>
      <c r="E52" s="4">
        <f>IF(E$38&lt;=E35,1,0)</f>
        <v>1</v>
      </c>
      <c r="F52" s="4">
        <f>IF(F$38&gt;=F35,1,0)</f>
        <v>0</v>
      </c>
      <c r="G52" s="2"/>
      <c r="H52" s="2"/>
      <c r="I52" s="4">
        <f t="shared" si="2"/>
        <v>0.7</v>
      </c>
      <c r="K52" s="16">
        <f>IF(K44&lt;$L$48,0,1)</f>
        <v>1</v>
      </c>
      <c r="L52" s="15" t="s">
        <v>5</v>
      </c>
      <c r="M52" s="16">
        <f>IF(M44&lt;$L$48,0,1)</f>
        <v>1</v>
      </c>
      <c r="N52" s="16">
        <f>IF(N44&lt;$L$48,0,1)</f>
        <v>0</v>
      </c>
    </row>
    <row r="53" spans="2:19" ht="18" x14ac:dyDescent="0.35">
      <c r="B53" s="4" t="s">
        <v>34</v>
      </c>
      <c r="C53" s="4">
        <f>IF(C$38&lt;=C36,1,0)</f>
        <v>1</v>
      </c>
      <c r="D53" s="4">
        <f>IF(D$38&gt;=D36,1,0)</f>
        <v>0</v>
      </c>
      <c r="E53" s="4">
        <f>IF(E$38&lt;=E36,1,0)</f>
        <v>1</v>
      </c>
      <c r="F53" s="4">
        <f>IF(F$38&gt;=F36,1,0)</f>
        <v>0</v>
      </c>
      <c r="G53" s="2"/>
      <c r="H53" s="2"/>
      <c r="I53" s="4">
        <f t="shared" si="2"/>
        <v>0.7</v>
      </c>
      <c r="K53" s="16">
        <f>IF(K45&lt;$L$48,0,1)</f>
        <v>1</v>
      </c>
      <c r="L53" s="16">
        <f>IF(L45&lt;$L$48,0,1)</f>
        <v>0</v>
      </c>
      <c r="M53" s="15" t="s">
        <v>5</v>
      </c>
      <c r="N53" s="16">
        <f>IF(N45&lt;$L$48,0,1)</f>
        <v>0</v>
      </c>
    </row>
    <row r="54" spans="2:19" ht="18" x14ac:dyDescent="0.35">
      <c r="B54" s="4" t="s">
        <v>35</v>
      </c>
      <c r="C54" s="4">
        <f>IF(C$38&lt;=C37,1,0)</f>
        <v>1</v>
      </c>
      <c r="D54" s="4">
        <f>IF(D$38&gt;=D37,1,0)</f>
        <v>0</v>
      </c>
      <c r="E54" s="4">
        <f>IF(E$38&lt;=E37,1,0)</f>
        <v>1</v>
      </c>
      <c r="F54" s="4">
        <f>IF(F$38&gt;=F37,1,0)</f>
        <v>0</v>
      </c>
      <c r="G54" s="2"/>
      <c r="H54" s="2"/>
      <c r="I54" s="4">
        <f t="shared" si="2"/>
        <v>0.7</v>
      </c>
      <c r="K54" s="16">
        <f>IF(K46&lt;$L$48,0,1)</f>
        <v>1</v>
      </c>
      <c r="L54" s="16">
        <f>IF(L46&lt;$L$48,0,1)</f>
        <v>1</v>
      </c>
      <c r="M54" s="16">
        <f>IF(M46&lt;$L$48,0,1)</f>
        <v>1</v>
      </c>
      <c r="N54" s="15" t="s">
        <v>5</v>
      </c>
    </row>
    <row r="55" spans="2:19" x14ac:dyDescent="0.25">
      <c r="B55" s="2"/>
      <c r="C55" s="2"/>
      <c r="D55" s="2"/>
      <c r="E55" s="2"/>
      <c r="F55" s="2"/>
      <c r="G55" s="2"/>
      <c r="H55" s="2"/>
    </row>
    <row r="56" spans="2:19" x14ac:dyDescent="0.25">
      <c r="B56" s="2"/>
      <c r="C56" s="2"/>
      <c r="D56" s="2"/>
      <c r="E56" s="2"/>
      <c r="F56" s="2"/>
      <c r="G56" s="2"/>
      <c r="H56" s="2"/>
    </row>
    <row r="57" spans="2:19" ht="16.5" customHeight="1" x14ac:dyDescent="0.25">
      <c r="B57" s="25" t="s">
        <v>16</v>
      </c>
      <c r="C57" s="8" t="s">
        <v>9</v>
      </c>
      <c r="D57" s="9" t="s">
        <v>10</v>
      </c>
      <c r="E57" s="8" t="s">
        <v>11</v>
      </c>
      <c r="F57" s="8" t="s">
        <v>12</v>
      </c>
      <c r="G57" s="6"/>
      <c r="H57" s="6"/>
      <c r="R57" s="29" t="s">
        <v>23</v>
      </c>
      <c r="S57" s="29"/>
    </row>
    <row r="58" spans="2:19" ht="18" x14ac:dyDescent="0.35">
      <c r="B58" s="4" t="s">
        <v>36</v>
      </c>
      <c r="C58" s="4">
        <f>IF(C43=0,1,0)</f>
        <v>1</v>
      </c>
      <c r="D58" s="4">
        <f t="shared" ref="D58:F58" si="5">IF(D43=0,1,0)</f>
        <v>0</v>
      </c>
      <c r="E58" s="4">
        <f t="shared" si="5"/>
        <v>1</v>
      </c>
      <c r="F58" s="4">
        <f t="shared" si="5"/>
        <v>0</v>
      </c>
      <c r="G58" s="2"/>
      <c r="H58" s="2"/>
      <c r="R58" s="33" t="s">
        <v>50</v>
      </c>
      <c r="S58" s="4">
        <f>_xlfn.RANK.EQ(S43,$S$43:$S$46)</f>
        <v>4</v>
      </c>
    </row>
    <row r="59" spans="2:19" ht="18" x14ac:dyDescent="0.35">
      <c r="B59" s="4" t="s">
        <v>37</v>
      </c>
      <c r="C59" s="4">
        <f t="shared" ref="C59:E59" si="6">IF(C44=0,1,0)</f>
        <v>0</v>
      </c>
      <c r="D59" s="4">
        <f t="shared" si="6"/>
        <v>1</v>
      </c>
      <c r="E59" s="4">
        <f t="shared" si="6"/>
        <v>1</v>
      </c>
      <c r="F59" s="4">
        <f>IF(F44=0,1,0)</f>
        <v>1</v>
      </c>
      <c r="G59" s="2"/>
      <c r="H59" s="2"/>
      <c r="R59" s="33" t="s">
        <v>51</v>
      </c>
      <c r="S59" s="4">
        <f>_xlfn.RANK.EQ(S44,$S$43:$S$46)</f>
        <v>2</v>
      </c>
    </row>
    <row r="60" spans="2:19" ht="18" x14ac:dyDescent="0.35">
      <c r="B60" s="4" t="s">
        <v>38</v>
      </c>
      <c r="C60" s="4">
        <f t="shared" ref="C60:F60" si="7">IF(C45=0,1,0)</f>
        <v>1</v>
      </c>
      <c r="D60" s="4">
        <f t="shared" si="7"/>
        <v>0</v>
      </c>
      <c r="E60" s="4">
        <f t="shared" si="7"/>
        <v>1</v>
      </c>
      <c r="F60" s="4">
        <f t="shared" si="7"/>
        <v>0</v>
      </c>
      <c r="G60" s="2"/>
      <c r="H60" s="2"/>
      <c r="R60" s="33" t="s">
        <v>52</v>
      </c>
      <c r="S60" s="4">
        <f>_xlfn.RANK.EQ(S45,$S$43:$S$46)</f>
        <v>3</v>
      </c>
    </row>
    <row r="61" spans="2:19" ht="18" x14ac:dyDescent="0.35">
      <c r="B61" s="4" t="s">
        <v>39</v>
      </c>
      <c r="C61" s="4">
        <f t="shared" ref="C61:F61" si="8">IF(C46=0,1,0)</f>
        <v>0</v>
      </c>
      <c r="D61" s="4">
        <f t="shared" si="8"/>
        <v>1</v>
      </c>
      <c r="E61" s="4">
        <f t="shared" si="8"/>
        <v>0</v>
      </c>
      <c r="F61" s="4">
        <f t="shared" si="8"/>
        <v>1</v>
      </c>
      <c r="G61" s="2"/>
      <c r="H61" s="2"/>
      <c r="R61" s="34" t="s">
        <v>53</v>
      </c>
      <c r="S61" s="4">
        <f>_xlfn.RANK.EQ(S46,$S$43:$S$46)</f>
        <v>1</v>
      </c>
    </row>
    <row r="62" spans="2:19" ht="18" x14ac:dyDescent="0.35">
      <c r="B62" s="4" t="s">
        <v>40</v>
      </c>
      <c r="C62" s="4">
        <f t="shared" ref="C62:F62" si="9">IF(C47=0,1,0)</f>
        <v>0</v>
      </c>
      <c r="D62" s="4">
        <f t="shared" si="9"/>
        <v>1</v>
      </c>
      <c r="E62" s="4">
        <f t="shared" si="9"/>
        <v>0</v>
      </c>
      <c r="F62" s="4">
        <f t="shared" si="9"/>
        <v>1</v>
      </c>
      <c r="G62" s="2"/>
      <c r="H62" s="2"/>
    </row>
    <row r="63" spans="2:19" ht="18" x14ac:dyDescent="0.35">
      <c r="B63" s="4" t="s">
        <v>41</v>
      </c>
      <c r="C63" s="4">
        <f t="shared" ref="C63:F63" si="10">IF(C48=0,1,0)</f>
        <v>1</v>
      </c>
      <c r="D63" s="4">
        <f t="shared" si="10"/>
        <v>0</v>
      </c>
      <c r="E63" s="4">
        <f t="shared" si="10"/>
        <v>1</v>
      </c>
      <c r="F63" s="4">
        <f t="shared" si="10"/>
        <v>0</v>
      </c>
      <c r="G63" s="2"/>
      <c r="H63" s="2"/>
    </row>
    <row r="64" spans="2:19" ht="18" x14ac:dyDescent="0.35">
      <c r="B64" s="4" t="s">
        <v>42</v>
      </c>
      <c r="C64" s="4">
        <f t="shared" ref="C64:F64" si="11">IF(C49=0,1,0)</f>
        <v>1</v>
      </c>
      <c r="D64" s="4">
        <f t="shared" si="11"/>
        <v>0</v>
      </c>
      <c r="E64" s="4">
        <f t="shared" si="11"/>
        <v>0</v>
      </c>
      <c r="F64" s="4">
        <f t="shared" si="11"/>
        <v>0</v>
      </c>
      <c r="G64" s="2"/>
      <c r="H64" s="2"/>
    </row>
    <row r="65" spans="2:19" ht="18" x14ac:dyDescent="0.35">
      <c r="B65" s="4" t="s">
        <v>43</v>
      </c>
      <c r="C65" s="4">
        <f t="shared" ref="C65:F65" si="12">IF(C50=0,1,0)</f>
        <v>1</v>
      </c>
      <c r="D65" s="4">
        <f t="shared" si="12"/>
        <v>0</v>
      </c>
      <c r="E65" s="4">
        <f t="shared" si="12"/>
        <v>1</v>
      </c>
      <c r="F65" s="4">
        <f t="shared" si="12"/>
        <v>0</v>
      </c>
      <c r="G65" s="2"/>
      <c r="H65" s="2"/>
    </row>
    <row r="66" spans="2:19" ht="18" x14ac:dyDescent="0.35">
      <c r="B66" s="4" t="s">
        <v>44</v>
      </c>
      <c r="C66" s="4">
        <f t="shared" ref="C66:F66" si="13">IF(C51=0,1,0)</f>
        <v>1</v>
      </c>
      <c r="D66" s="4">
        <f t="shared" si="13"/>
        <v>0</v>
      </c>
      <c r="E66" s="4">
        <f t="shared" si="13"/>
        <v>1</v>
      </c>
      <c r="F66" s="4">
        <f t="shared" si="13"/>
        <v>0</v>
      </c>
      <c r="G66" s="2"/>
      <c r="H66" s="2"/>
    </row>
    <row r="67" spans="2:19" ht="18" x14ac:dyDescent="0.35">
      <c r="B67" s="4" t="s">
        <v>45</v>
      </c>
      <c r="C67" s="4">
        <f t="shared" ref="C67:E67" si="14">IF(C52=0,1,0)</f>
        <v>0</v>
      </c>
      <c r="D67" s="4">
        <f t="shared" si="14"/>
        <v>1</v>
      </c>
      <c r="E67" s="4">
        <f t="shared" si="14"/>
        <v>0</v>
      </c>
      <c r="F67" s="4">
        <f>IF(F52=0,1,0)</f>
        <v>1</v>
      </c>
      <c r="G67" s="2"/>
      <c r="H67" s="2"/>
    </row>
    <row r="68" spans="2:19" ht="18" x14ac:dyDescent="0.35">
      <c r="B68" s="4" t="s">
        <v>46</v>
      </c>
      <c r="C68" s="4">
        <f t="shared" ref="C68:F68" si="15">IF(C53=0,1,0)</f>
        <v>0</v>
      </c>
      <c r="D68" s="4">
        <f t="shared" si="15"/>
        <v>1</v>
      </c>
      <c r="E68" s="4">
        <f t="shared" si="15"/>
        <v>0</v>
      </c>
      <c r="F68" s="4">
        <f t="shared" si="15"/>
        <v>1</v>
      </c>
      <c r="G68" s="2"/>
      <c r="H68" s="2"/>
    </row>
    <row r="69" spans="2:19" ht="18" x14ac:dyDescent="0.35">
      <c r="B69" s="4" t="s">
        <v>47</v>
      </c>
      <c r="C69" s="4">
        <f t="shared" ref="C69:F69" si="16">IF(C54=0,1,0)</f>
        <v>0</v>
      </c>
      <c r="D69" s="4">
        <f t="shared" si="16"/>
        <v>1</v>
      </c>
      <c r="E69" s="4">
        <f t="shared" si="16"/>
        <v>0</v>
      </c>
      <c r="F69" s="4">
        <f t="shared" si="16"/>
        <v>1</v>
      </c>
      <c r="G69" s="2"/>
      <c r="H69" s="2"/>
    </row>
    <row r="70" spans="2:19" x14ac:dyDescent="0.25">
      <c r="G70" s="2"/>
      <c r="H70" s="2"/>
    </row>
    <row r="71" spans="2:19" ht="31.5" x14ac:dyDescent="0.35">
      <c r="B71" s="20"/>
      <c r="C71" s="8" t="s">
        <v>9</v>
      </c>
      <c r="D71" s="9" t="s">
        <v>10</v>
      </c>
      <c r="E71" s="8" t="s">
        <v>11</v>
      </c>
      <c r="F71" s="8" t="s">
        <v>12</v>
      </c>
      <c r="G71" s="6"/>
      <c r="H71" s="6"/>
      <c r="I71" s="21" t="s">
        <v>48</v>
      </c>
      <c r="J71" s="21" t="s">
        <v>49</v>
      </c>
      <c r="K71" s="21" t="s">
        <v>6</v>
      </c>
      <c r="M71" s="31" t="s">
        <v>20</v>
      </c>
      <c r="N71" s="31"/>
      <c r="O71" s="31"/>
      <c r="P71" s="31"/>
      <c r="Q71" s="31"/>
      <c r="S71" s="14" t="s">
        <v>8</v>
      </c>
    </row>
    <row r="72" spans="2:19" ht="18" x14ac:dyDescent="0.35">
      <c r="B72" s="4" t="s">
        <v>36</v>
      </c>
      <c r="C72" s="10">
        <f t="shared" ref="C72:F74" si="17">ABS(C$35-C36)</f>
        <v>0.10910894511799615</v>
      </c>
      <c r="D72" s="10">
        <f t="shared" si="17"/>
        <v>0.11490000755057217</v>
      </c>
      <c r="E72" s="10">
        <f t="shared" si="17"/>
        <v>5.5351872481733094E-2</v>
      </c>
      <c r="F72" s="10">
        <f t="shared" si="17"/>
        <v>9.2307692307692313E-2</v>
      </c>
      <c r="G72" s="11"/>
      <c r="H72" s="11"/>
      <c r="I72" s="10">
        <f>MAX(C72*C58,D72*D58,E72*E58,F72*F58)</f>
        <v>0.10910894511799615</v>
      </c>
      <c r="J72" s="10">
        <f>MAX(C72:F72)</f>
        <v>0.11490000755057217</v>
      </c>
      <c r="K72" s="10">
        <f>I72/J72</f>
        <v>0.94959911181879486</v>
      </c>
      <c r="M72" s="15" t="s">
        <v>5</v>
      </c>
      <c r="N72" s="22">
        <f>+K72</f>
        <v>0.94959911181879486</v>
      </c>
      <c r="O72" s="22">
        <f>+K73</f>
        <v>1</v>
      </c>
      <c r="P72" s="22">
        <f>+K74</f>
        <v>0.94959911181879497</v>
      </c>
      <c r="Q72" s="17">
        <f>SUM(M72:P72)</f>
        <v>2.8991982236375895</v>
      </c>
      <c r="S72" s="18">
        <f>Q72-M76</f>
        <v>0.10153496970980136</v>
      </c>
    </row>
    <row r="73" spans="2:19" ht="18" x14ac:dyDescent="0.35">
      <c r="B73" s="4" t="s">
        <v>37</v>
      </c>
      <c r="C73" s="10">
        <f t="shared" si="17"/>
        <v>6.5465367070797753E-2</v>
      </c>
      <c r="D73" s="10">
        <f t="shared" si="17"/>
        <v>8.2071433964694407E-2</v>
      </c>
      <c r="E73" s="10">
        <f t="shared" si="17"/>
        <v>4.612656040144425E-2</v>
      </c>
      <c r="F73" s="10">
        <f t="shared" si="17"/>
        <v>3.0769230769230771E-2</v>
      </c>
      <c r="G73" s="11"/>
      <c r="H73" s="11"/>
      <c r="I73" s="10">
        <f t="shared" ref="I73:I83" si="18">MAX(C73*C59,D73*D59,E73*E59,F73*F59)</f>
        <v>8.2071433964694407E-2</v>
      </c>
      <c r="J73" s="10">
        <f t="shared" ref="J73:J83" si="19">MAX(C73:F73)</f>
        <v>8.2071433964694407E-2</v>
      </c>
      <c r="K73" s="10">
        <f>I73/J73</f>
        <v>1</v>
      </c>
      <c r="M73" s="16">
        <f>+K75</f>
        <v>1</v>
      </c>
      <c r="N73" s="15" t="s">
        <v>5</v>
      </c>
      <c r="O73" s="16">
        <f>+K76</f>
        <v>1</v>
      </c>
      <c r="P73" s="16">
        <f>+K77</f>
        <v>0.94959911181879531</v>
      </c>
      <c r="Q73" s="17">
        <f t="shared" ref="Q73:Q75" si="20">SUM(M73:P73)</f>
        <v>2.9495991118187952</v>
      </c>
      <c r="S73" s="18">
        <f>Q73-N76</f>
        <v>0.11370749563579174</v>
      </c>
    </row>
    <row r="74" spans="2:19" ht="18" x14ac:dyDescent="0.35">
      <c r="B74" s="4" t="s">
        <v>38</v>
      </c>
      <c r="C74" s="10">
        <f t="shared" si="17"/>
        <v>0.15275252316519464</v>
      </c>
      <c r="D74" s="10">
        <f t="shared" si="17"/>
        <v>0.16086001057080104</v>
      </c>
      <c r="E74" s="10">
        <f t="shared" si="17"/>
        <v>6.4577184562021953E-2</v>
      </c>
      <c r="F74" s="10">
        <f t="shared" si="17"/>
        <v>0.1076923076923077</v>
      </c>
      <c r="G74" s="11"/>
      <c r="H74" s="11"/>
      <c r="I74" s="10">
        <f>MAX(C74*C60,D74*D60,E74*E60,F74*F60)</f>
        <v>0.15275252316519464</v>
      </c>
      <c r="J74" s="10">
        <f t="shared" si="19"/>
        <v>0.16086001057080104</v>
      </c>
      <c r="K74" s="10">
        <f t="shared" ref="K74:K83" si="21">I74/J74</f>
        <v>0.94959911181879497</v>
      </c>
      <c r="M74" s="16">
        <f>+K78</f>
        <v>0.79766325392778836</v>
      </c>
      <c r="N74" s="22">
        <f>+K79</f>
        <v>0.88629250436420881</v>
      </c>
      <c r="O74" s="15" t="s">
        <v>5</v>
      </c>
      <c r="P74" s="22">
        <f>+K80</f>
        <v>0.89826943009886029</v>
      </c>
      <c r="Q74" s="17">
        <f t="shared" si="20"/>
        <v>2.5822251883908578</v>
      </c>
      <c r="S74" s="18">
        <f>Q74-O76</f>
        <v>-0.4177748116091422</v>
      </c>
    </row>
    <row r="75" spans="2:19" ht="18" x14ac:dyDescent="0.35">
      <c r="B75" s="4" t="s">
        <v>39</v>
      </c>
      <c r="C75" s="10">
        <f>ABS(C$36-C35)</f>
        <v>0.10910894511799615</v>
      </c>
      <c r="D75" s="10">
        <f>ABS(D$36-D35)</f>
        <v>0.11490000755057217</v>
      </c>
      <c r="E75" s="10">
        <f>ABS(E$36-E35)</f>
        <v>5.5351872481733094E-2</v>
      </c>
      <c r="F75" s="10">
        <f>ABS(F$36-F35)</f>
        <v>9.2307692307692313E-2</v>
      </c>
      <c r="G75" s="11"/>
      <c r="H75" s="11"/>
      <c r="I75" s="10">
        <f t="shared" si="18"/>
        <v>0.11490000755057217</v>
      </c>
      <c r="J75" s="10">
        <f t="shared" si="19"/>
        <v>0.11490000755057217</v>
      </c>
      <c r="K75" s="10">
        <f t="shared" si="21"/>
        <v>1</v>
      </c>
      <c r="M75" s="16">
        <f>+K81</f>
        <v>1</v>
      </c>
      <c r="N75" s="22">
        <f>+K82</f>
        <v>1</v>
      </c>
      <c r="O75" s="16">
        <f>+K83</f>
        <v>1</v>
      </c>
      <c r="P75" s="15" t="s">
        <v>5</v>
      </c>
      <c r="Q75" s="17">
        <f t="shared" si="20"/>
        <v>3</v>
      </c>
      <c r="S75" s="18">
        <f>Q75-P76</f>
        <v>0.2025323462635491</v>
      </c>
    </row>
    <row r="76" spans="2:19" ht="18" x14ac:dyDescent="0.35">
      <c r="B76" s="4" t="s">
        <v>40</v>
      </c>
      <c r="C76" s="10">
        <f t="shared" ref="C76:F77" si="22">ABS(C$36-C37)</f>
        <v>0.17457431218879391</v>
      </c>
      <c r="D76" s="10">
        <f t="shared" si="22"/>
        <v>0.19697144151526658</v>
      </c>
      <c r="E76" s="10">
        <f t="shared" si="22"/>
        <v>9.2253120802888444E-3</v>
      </c>
      <c r="F76" s="10">
        <f t="shared" si="22"/>
        <v>0.12307692307692308</v>
      </c>
      <c r="G76" s="11"/>
      <c r="H76" s="11"/>
      <c r="I76" s="10">
        <f t="shared" si="18"/>
        <v>0.19697144151526658</v>
      </c>
      <c r="J76" s="10">
        <f t="shared" si="19"/>
        <v>0.19697144151526658</v>
      </c>
      <c r="K76" s="10">
        <f t="shared" si="21"/>
        <v>1</v>
      </c>
      <c r="M76" s="17">
        <f>SUM(M72:M75)</f>
        <v>2.7976632539277881</v>
      </c>
      <c r="N76" s="17">
        <f t="shared" ref="N76:P76" si="23">SUM(N72:N75)</f>
        <v>2.8358916161830034</v>
      </c>
      <c r="O76" s="17">
        <f t="shared" si="23"/>
        <v>3</v>
      </c>
      <c r="P76" s="17">
        <f t="shared" si="23"/>
        <v>2.7974676537364509</v>
      </c>
      <c r="Q76" s="2"/>
    </row>
    <row r="77" spans="2:19" ht="18" x14ac:dyDescent="0.35">
      <c r="B77" s="4" t="s">
        <v>41</v>
      </c>
      <c r="C77" s="10">
        <f t="shared" si="22"/>
        <v>4.3643578047198484E-2</v>
      </c>
      <c r="D77" s="10">
        <f t="shared" si="22"/>
        <v>4.5960003020228866E-2</v>
      </c>
      <c r="E77" s="10">
        <f t="shared" si="22"/>
        <v>9.2253120802888583E-3</v>
      </c>
      <c r="F77" s="10">
        <f t="shared" si="22"/>
        <v>1.5384615384615385E-2</v>
      </c>
      <c r="G77" s="11"/>
      <c r="H77" s="11"/>
      <c r="I77" s="10">
        <f t="shared" si="18"/>
        <v>4.3643578047198484E-2</v>
      </c>
      <c r="J77" s="10">
        <f t="shared" si="19"/>
        <v>4.5960003020228866E-2</v>
      </c>
      <c r="K77" s="10">
        <f t="shared" si="21"/>
        <v>0.94959911181879531</v>
      </c>
      <c r="M77" s="23" t="s">
        <v>19</v>
      </c>
      <c r="N77" s="10">
        <f>(N72+O72+P72+M73+O73+P73+M74+N74+P74+M75+N75+O75)/(4*3)</f>
        <v>0.9525852103206035</v>
      </c>
      <c r="O77" s="2"/>
      <c r="P77" s="2"/>
      <c r="Q77" s="2"/>
    </row>
    <row r="78" spans="2:19" ht="18" x14ac:dyDescent="0.35">
      <c r="B78" s="4" t="s">
        <v>42</v>
      </c>
      <c r="C78" s="10">
        <f t="shared" ref="C78:F79" si="24">ABS(C$37-C35)</f>
        <v>6.5465367070797753E-2</v>
      </c>
      <c r="D78" s="10">
        <f t="shared" si="24"/>
        <v>8.2071433964694407E-2</v>
      </c>
      <c r="E78" s="10">
        <f t="shared" si="24"/>
        <v>4.612656040144425E-2</v>
      </c>
      <c r="F78" s="10">
        <f t="shared" si="24"/>
        <v>3.0769230769230771E-2</v>
      </c>
      <c r="G78" s="11"/>
      <c r="H78" s="11"/>
      <c r="I78" s="10">
        <f t="shared" si="18"/>
        <v>6.5465367070797753E-2</v>
      </c>
      <c r="J78" s="10">
        <f t="shared" si="19"/>
        <v>8.2071433964694407E-2</v>
      </c>
      <c r="K78" s="10">
        <f t="shared" si="21"/>
        <v>0.79766325392778836</v>
      </c>
    </row>
    <row r="79" spans="2:19" ht="18" x14ac:dyDescent="0.35">
      <c r="B79" s="4" t="s">
        <v>43</v>
      </c>
      <c r="C79" s="10">
        <f t="shared" si="24"/>
        <v>0.17457431218879391</v>
      </c>
      <c r="D79" s="10">
        <f t="shared" si="24"/>
        <v>0.19697144151526658</v>
      </c>
      <c r="E79" s="10">
        <f t="shared" si="24"/>
        <v>9.2253120802888444E-3</v>
      </c>
      <c r="F79" s="10">
        <f t="shared" si="24"/>
        <v>0.12307692307692308</v>
      </c>
      <c r="G79" s="11"/>
      <c r="H79" s="11"/>
      <c r="I79" s="10">
        <f t="shared" si="18"/>
        <v>0.17457431218879391</v>
      </c>
      <c r="J79" s="10">
        <f t="shared" si="19"/>
        <v>0.19697144151526658</v>
      </c>
      <c r="K79" s="10">
        <f t="shared" si="21"/>
        <v>0.88629250436420881</v>
      </c>
      <c r="M79" s="32" t="s">
        <v>20</v>
      </c>
      <c r="N79" s="32"/>
      <c r="O79" s="32"/>
      <c r="P79" s="32"/>
    </row>
    <row r="80" spans="2:19" ht="18" x14ac:dyDescent="0.35">
      <c r="B80" s="4" t="s">
        <v>44</v>
      </c>
      <c r="C80" s="10">
        <f>ABS(C$37-C38)</f>
        <v>0.21821789023599239</v>
      </c>
      <c r="D80" s="10">
        <f>ABS(D$37-D38)</f>
        <v>0.24293144453549545</v>
      </c>
      <c r="E80" s="10">
        <f>ABS(E$37-E38)</f>
        <v>1.8450624160577703E-2</v>
      </c>
      <c r="F80" s="10">
        <f>ABS(F$37-F38)</f>
        <v>0.13846153846153847</v>
      </c>
      <c r="G80" s="11"/>
      <c r="H80" s="11"/>
      <c r="I80" s="10">
        <f t="shared" si="18"/>
        <v>0.21821789023599239</v>
      </c>
      <c r="J80" s="10">
        <f t="shared" si="19"/>
        <v>0.24293144453549545</v>
      </c>
      <c r="K80" s="10">
        <f t="shared" si="21"/>
        <v>0.89826943009886029</v>
      </c>
      <c r="M80" s="15" t="s">
        <v>5</v>
      </c>
      <c r="N80" s="16">
        <f>IF(N72&gt;$N$77,0,1)</f>
        <v>1</v>
      </c>
      <c r="O80" s="16">
        <f>IF(O72&gt;$N$77,0,1)</f>
        <v>0</v>
      </c>
      <c r="P80" s="16">
        <f>IF(P72&gt;$N$77,0,1)</f>
        <v>1</v>
      </c>
    </row>
    <row r="81" spans="2:16" ht="18" x14ac:dyDescent="0.35">
      <c r="B81" s="4" t="s">
        <v>45</v>
      </c>
      <c r="C81" s="10">
        <f t="shared" ref="C81:F83" si="25">ABS(C$38-C35)</f>
        <v>0.15275252316519464</v>
      </c>
      <c r="D81" s="10">
        <f t="shared" si="25"/>
        <v>0.16086001057080104</v>
      </c>
      <c r="E81" s="10">
        <f t="shared" si="25"/>
        <v>6.4577184562021953E-2</v>
      </c>
      <c r="F81" s="10">
        <f t="shared" si="25"/>
        <v>0.1076923076923077</v>
      </c>
      <c r="G81" s="11"/>
      <c r="H81" s="11"/>
      <c r="I81" s="10">
        <f t="shared" si="18"/>
        <v>0.16086001057080104</v>
      </c>
      <c r="J81" s="10">
        <f>MAX(C81:F81)</f>
        <v>0.16086001057080104</v>
      </c>
      <c r="K81" s="10">
        <f t="shared" si="21"/>
        <v>1</v>
      </c>
      <c r="M81" s="16">
        <f>IF(M73&gt;$N$77,0,1)</f>
        <v>0</v>
      </c>
      <c r="N81" s="15" t="s">
        <v>5</v>
      </c>
      <c r="O81" s="16">
        <f>IF(O73&gt;$N$77,0,1)</f>
        <v>0</v>
      </c>
      <c r="P81" s="16">
        <f>IF(P73&gt;$N$77,0,1)</f>
        <v>1</v>
      </c>
    </row>
    <row r="82" spans="2:16" ht="18" x14ac:dyDescent="0.35">
      <c r="B82" s="4" t="s">
        <v>46</v>
      </c>
      <c r="C82" s="10">
        <f t="shared" si="25"/>
        <v>4.3643578047198484E-2</v>
      </c>
      <c r="D82" s="10">
        <f t="shared" si="25"/>
        <v>4.5960003020228866E-2</v>
      </c>
      <c r="E82" s="10">
        <f t="shared" si="25"/>
        <v>9.2253120802888583E-3</v>
      </c>
      <c r="F82" s="10">
        <f t="shared" si="25"/>
        <v>1.5384615384615385E-2</v>
      </c>
      <c r="G82" s="11"/>
      <c r="H82" s="11"/>
      <c r="I82" s="10">
        <f t="shared" si="18"/>
        <v>4.5960003020228866E-2</v>
      </c>
      <c r="J82" s="10">
        <f t="shared" si="19"/>
        <v>4.5960003020228866E-2</v>
      </c>
      <c r="K82" s="10">
        <f t="shared" si="21"/>
        <v>1</v>
      </c>
      <c r="M82" s="16">
        <f>IF(M74&gt;$N$77,0,1)</f>
        <v>1</v>
      </c>
      <c r="N82" s="16">
        <f>IF(N74&gt;$N$77,0,1)</f>
        <v>1</v>
      </c>
      <c r="O82" s="15" t="s">
        <v>5</v>
      </c>
      <c r="P82" s="16">
        <f>IF(P74&gt;$N$77,0,1)</f>
        <v>1</v>
      </c>
    </row>
    <row r="83" spans="2:16" ht="18" x14ac:dyDescent="0.35">
      <c r="B83" s="4" t="s">
        <v>47</v>
      </c>
      <c r="C83" s="10">
        <f t="shared" si="25"/>
        <v>0.21821789023599239</v>
      </c>
      <c r="D83" s="10">
        <f t="shared" si="25"/>
        <v>0.24293144453549545</v>
      </c>
      <c r="E83" s="10">
        <f t="shared" si="25"/>
        <v>1.8450624160577703E-2</v>
      </c>
      <c r="F83" s="10">
        <f t="shared" si="25"/>
        <v>0.13846153846153847</v>
      </c>
      <c r="G83" s="11"/>
      <c r="H83" s="11"/>
      <c r="I83" s="10">
        <f t="shared" si="18"/>
        <v>0.24293144453549545</v>
      </c>
      <c r="J83" s="10">
        <f t="shared" si="19"/>
        <v>0.24293144453549545</v>
      </c>
      <c r="K83" s="10">
        <f t="shared" si="21"/>
        <v>1</v>
      </c>
      <c r="M83" s="16">
        <f>IF(M75&gt;$N$77,0,1)</f>
        <v>0</v>
      </c>
      <c r="N83" s="16">
        <f>IF(N75&gt;$N$77,0,1)</f>
        <v>0</v>
      </c>
      <c r="O83" s="16">
        <f>IF(O75&gt;$N$77,0,1)</f>
        <v>0</v>
      </c>
      <c r="P83" s="15" t="s">
        <v>5</v>
      </c>
    </row>
    <row r="87" spans="2:16" x14ac:dyDescent="0.25">
      <c r="M87" s="30" t="s">
        <v>20</v>
      </c>
      <c r="N87" s="30"/>
      <c r="O87" s="30"/>
      <c r="P87" s="30"/>
    </row>
    <row r="88" spans="2:16" x14ac:dyDescent="0.25">
      <c r="M88" s="15" t="s">
        <v>5</v>
      </c>
      <c r="N88" s="4">
        <f t="shared" ref="N88:P91" si="26">L51*N80</f>
        <v>0</v>
      </c>
      <c r="O88" s="4">
        <f t="shared" si="26"/>
        <v>0</v>
      </c>
      <c r="P88" s="4">
        <f t="shared" si="26"/>
        <v>0</v>
      </c>
    </row>
    <row r="89" spans="2:16" x14ac:dyDescent="0.25">
      <c r="M89" s="4">
        <f t="shared" ref="M89:M91" si="27">K52*M81</f>
        <v>0</v>
      </c>
      <c r="N89" s="15" t="s">
        <v>5</v>
      </c>
      <c r="O89" s="4">
        <f t="shared" si="26"/>
        <v>0</v>
      </c>
      <c r="P89" s="4">
        <f t="shared" si="26"/>
        <v>0</v>
      </c>
    </row>
    <row r="90" spans="2:16" x14ac:dyDescent="0.25">
      <c r="M90" s="4">
        <f t="shared" si="27"/>
        <v>1</v>
      </c>
      <c r="N90" s="4">
        <f t="shared" si="26"/>
        <v>0</v>
      </c>
      <c r="O90" s="15" t="s">
        <v>5</v>
      </c>
      <c r="P90" s="4">
        <f t="shared" si="26"/>
        <v>0</v>
      </c>
    </row>
    <row r="91" spans="2:16" x14ac:dyDescent="0.25">
      <c r="M91" s="4">
        <f t="shared" si="27"/>
        <v>0</v>
      </c>
      <c r="N91" s="4">
        <f t="shared" si="26"/>
        <v>0</v>
      </c>
      <c r="O91" s="4">
        <f t="shared" si="26"/>
        <v>0</v>
      </c>
      <c r="P91" s="15" t="s">
        <v>5</v>
      </c>
    </row>
  </sheetData>
  <mergeCells count="8">
    <mergeCell ref="M87:P87"/>
    <mergeCell ref="M71:Q71"/>
    <mergeCell ref="M79:P79"/>
    <mergeCell ref="B7:C7"/>
    <mergeCell ref="B2:F4"/>
    <mergeCell ref="K42:O42"/>
    <mergeCell ref="R57:S57"/>
    <mergeCell ref="K50:N50"/>
  </mergeCells>
  <conditionalFormatting sqref="C8:C11">
    <cfRule type="cellIs" dxfId="3" priority="9" operator="equal">
      <formula>1</formula>
    </cfRule>
  </conditionalFormatting>
  <conditionalFormatting sqref="S58:S61">
    <cfRule type="cellIs" dxfId="2" priority="7" operator="equal">
      <formula>1</formula>
    </cfRule>
  </conditionalFormatting>
  <conditionalFormatting sqref="K27:K38">
    <cfRule type="cellIs" dxfId="1" priority="6" operator="equal">
      <formula>1</formula>
    </cfRule>
  </conditionalFormatting>
  <conditionalFormatting sqref="M27:M38">
    <cfRule type="cellIs" dxfId="0" priority="5" operator="equal">
      <formula>1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Fighter Aircraft 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Медведев</dc:creator>
  <cp:lastModifiedBy>Михаил Медведев</cp:lastModifiedBy>
  <dcterms:created xsi:type="dcterms:W3CDTF">2016-03-30T18:51:04Z</dcterms:created>
  <dcterms:modified xsi:type="dcterms:W3CDTF">2021-03-23T21:36:06Z</dcterms:modified>
</cp:coreProperties>
</file>