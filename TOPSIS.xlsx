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E23" i="1"/>
  <c r="E24" i="1"/>
  <c r="E25" i="1"/>
  <c r="C22" i="1" l="1"/>
  <c r="C31" i="1" s="1"/>
  <c r="D22" i="1"/>
  <c r="D31" i="1" s="1"/>
  <c r="E31" i="1"/>
  <c r="C23" i="1"/>
  <c r="C32" i="1" s="1"/>
  <c r="D23" i="1"/>
  <c r="D32" i="1" s="1"/>
  <c r="E32" i="1"/>
  <c r="C24" i="1"/>
  <c r="C33" i="1" s="1"/>
  <c r="D24" i="1"/>
  <c r="D33" i="1" s="1"/>
  <c r="E33" i="1"/>
  <c r="C25" i="1"/>
  <c r="C34" i="1" s="1"/>
  <c r="D25" i="1"/>
  <c r="D34" i="1" s="1"/>
  <c r="E34" i="1"/>
  <c r="B25" i="1"/>
  <c r="B34" i="1" s="1"/>
  <c r="B24" i="1"/>
  <c r="B33" i="1" s="1"/>
  <c r="B23" i="1"/>
  <c r="B32" i="1" s="1"/>
  <c r="B22" i="1"/>
  <c r="B31" i="1" s="1"/>
  <c r="D40" i="1" l="1"/>
  <c r="D41" i="1"/>
  <c r="E41" i="1"/>
  <c r="E40" i="1"/>
  <c r="B41" i="1"/>
  <c r="B40" i="1"/>
  <c r="C40" i="1"/>
  <c r="C41" i="1"/>
  <c r="C46" i="1" l="1"/>
  <c r="D46" i="1" s="1"/>
  <c r="B46" i="1"/>
  <c r="C47" i="1"/>
  <c r="B45" i="1"/>
  <c r="B47" i="1"/>
  <c r="C48" i="1"/>
  <c r="B48" i="1"/>
  <c r="C45" i="1"/>
  <c r="D47" i="1" l="1"/>
  <c r="D45" i="1"/>
  <c r="D48" i="1"/>
</calcChain>
</file>

<file path=xl/sharedStrings.xml><?xml version="1.0" encoding="utf-8"?>
<sst xmlns="http://schemas.openxmlformats.org/spreadsheetml/2006/main" count="57" uniqueCount="25">
  <si>
    <t>Исходные данные</t>
  </si>
  <si>
    <t>Критерий:</t>
  </si>
  <si>
    <t>К1</t>
  </si>
  <si>
    <t>К2</t>
  </si>
  <si>
    <t>К3</t>
  </si>
  <si>
    <t>К4</t>
  </si>
  <si>
    <t>Вес критерия</t>
  </si>
  <si>
    <t>Нормализованная таблица</t>
  </si>
  <si>
    <t>Взвешенная таблица</t>
  </si>
  <si>
    <t>Позитивная и негативная матрицы</t>
  </si>
  <si>
    <t>Позитивная</t>
  </si>
  <si>
    <t>Негативная</t>
  </si>
  <si>
    <r>
      <t>S</t>
    </r>
    <r>
      <rPr>
        <sz val="8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scheme val="minor"/>
      </rPr>
      <t>+</t>
    </r>
  </si>
  <si>
    <r>
      <t>S</t>
    </r>
    <r>
      <rPr>
        <sz val="8"/>
        <color theme="1"/>
        <rFont val="Calibri"/>
        <family val="2"/>
        <charset val="204"/>
        <scheme val="minor"/>
      </rPr>
      <t>i-</t>
    </r>
  </si>
  <si>
    <r>
      <t>P</t>
    </r>
    <r>
      <rPr>
        <sz val="8"/>
        <color theme="1"/>
        <rFont val="Calibri"/>
        <family val="2"/>
        <charset val="204"/>
        <scheme val="minor"/>
      </rPr>
      <t>i</t>
    </r>
  </si>
  <si>
    <t>Результаты</t>
  </si>
  <si>
    <t>Word 2016</t>
  </si>
  <si>
    <t>EmEditor</t>
  </si>
  <si>
    <t>Adobe Acrobat</t>
  </si>
  <si>
    <t>Iceni Infix</t>
  </si>
  <si>
    <t>Цена</t>
  </si>
  <si>
    <t>Функционал</t>
  </si>
  <si>
    <t>Сложность</t>
  </si>
  <si>
    <t>Интерфейс</t>
  </si>
  <si>
    <t>инверт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</si>
</sst>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/>
    <xf numFmtId="0" fontId="0" fillId="3" borderId="2" xfId="0" applyFill="1" applyBorder="1" applyAlignment="1">
      <alignment horizontal="center"/>
    </xf>
    <xf numFmtId="0" fontId="3" fillId="0" borderId="1" xfId="0" applyFont="1" applyBorder="1" applyAlignment="1"/>
    <xf numFmtId="0" fontId="4" fillId="0" borderId="1" xfId="0" applyFont="1" applyBorder="1" applyAlignment="1"/>
    <xf numFmtId="0" fontId="0" fillId="3" borderId="0" xfId="0" applyFill="1" applyAlignment="1"/>
    <xf numFmtId="0" fontId="0" fillId="3" borderId="2" xfId="0" applyFill="1" applyBorder="1" applyAlignment="1">
      <alignment vertical="center"/>
    </xf>
    <xf numFmtId="0" fontId="0" fillId="0" borderId="0" xfId="0" applyFill="1"/>
    <xf numFmtId="0" fontId="0" fillId="0" borderId="0" xfId="0" applyFill="1" applyAlignment="1"/>
    <xf numFmtId="0" fontId="2" fillId="0" borderId="1" xfId="0" applyFont="1" applyBorder="1" applyAlignment="1">
      <alignment horizontal="center" vertical="center"/>
    </xf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topLeftCell="A22" workbookViewId="0">
      <selection activeCell="E47" sqref="E47"/>
    </sheetView>
  </sheetViews>
  <sheetFormatPr defaultRowHeight="15" x14ac:dyDescent="0.25"/>
  <cols>
    <col min="1" max="5" width="18.28515625" customWidth="1"/>
    <col min="6" max="8" width="9.140625" customWidth="1"/>
  </cols>
  <sheetData>
    <row r="1" spans="1:7" x14ac:dyDescent="0.25">
      <c r="A1" s="8" t="s">
        <v>0</v>
      </c>
      <c r="B1" s="8"/>
      <c r="C1" s="8"/>
      <c r="D1" s="8"/>
      <c r="E1" s="8"/>
      <c r="G1" s="3"/>
    </row>
    <row r="2" spans="1:7" x14ac:dyDescent="0.25">
      <c r="A2" s="1" t="s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9"/>
    </row>
    <row r="3" spans="1:7" x14ac:dyDescent="0.25">
      <c r="A3" s="1" t="s">
        <v>24</v>
      </c>
      <c r="B3" s="1">
        <v>1</v>
      </c>
      <c r="C3" s="1">
        <v>0</v>
      </c>
      <c r="D3" s="1">
        <v>1</v>
      </c>
      <c r="E3" s="1">
        <v>0</v>
      </c>
      <c r="F3" s="9"/>
    </row>
    <row r="4" spans="1:7" x14ac:dyDescent="0.25">
      <c r="A4" s="5" t="s">
        <v>16</v>
      </c>
      <c r="B4" s="11">
        <v>13000</v>
      </c>
      <c r="C4" s="11">
        <v>10000</v>
      </c>
      <c r="D4" s="11">
        <v>1500</v>
      </c>
      <c r="E4" s="11">
        <v>8000</v>
      </c>
      <c r="F4" s="9"/>
    </row>
    <row r="5" spans="1:7" x14ac:dyDescent="0.25">
      <c r="A5" s="5" t="s">
        <v>17</v>
      </c>
      <c r="B5" s="11">
        <v>8000</v>
      </c>
      <c r="C5" s="11">
        <v>3000</v>
      </c>
      <c r="D5" s="11">
        <v>900</v>
      </c>
      <c r="E5" s="11">
        <v>2000</v>
      </c>
      <c r="F5" s="9"/>
    </row>
    <row r="6" spans="1:7" x14ac:dyDescent="0.25">
      <c r="A6" s="5" t="s">
        <v>18</v>
      </c>
      <c r="B6" s="11">
        <v>16000</v>
      </c>
      <c r="C6" s="11">
        <v>15000</v>
      </c>
      <c r="D6" s="11">
        <v>1000</v>
      </c>
      <c r="E6" s="11">
        <v>10000</v>
      </c>
      <c r="F6" s="9"/>
    </row>
    <row r="7" spans="1:7" x14ac:dyDescent="0.25">
      <c r="A7" s="6" t="s">
        <v>19</v>
      </c>
      <c r="B7" s="11">
        <v>6000</v>
      </c>
      <c r="C7" s="11">
        <v>2000</v>
      </c>
      <c r="D7" s="11">
        <v>800</v>
      </c>
      <c r="E7" s="11">
        <v>1000</v>
      </c>
      <c r="F7" s="9"/>
    </row>
    <row r="10" spans="1:7" x14ac:dyDescent="0.25">
      <c r="F10" s="9"/>
    </row>
    <row r="11" spans="1:7" x14ac:dyDescent="0.25">
      <c r="A11" s="4" t="s">
        <v>6</v>
      </c>
      <c r="B11" s="4"/>
      <c r="C11" s="4"/>
      <c r="D11" s="4"/>
      <c r="E11" s="4"/>
      <c r="F11" s="10"/>
    </row>
    <row r="12" spans="1:7" x14ac:dyDescent="0.25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9"/>
    </row>
    <row r="13" spans="1:7" x14ac:dyDescent="0.25">
      <c r="A13" s="5" t="s">
        <v>16</v>
      </c>
      <c r="B13" s="2">
        <v>0.4</v>
      </c>
      <c r="C13" s="2">
        <v>0.3</v>
      </c>
      <c r="D13" s="2">
        <v>0.1</v>
      </c>
      <c r="E13" s="2">
        <v>0.1</v>
      </c>
      <c r="F13" s="9"/>
    </row>
    <row r="14" spans="1:7" x14ac:dyDescent="0.25">
      <c r="A14" s="5" t="s">
        <v>17</v>
      </c>
      <c r="B14" s="2">
        <v>0.4</v>
      </c>
      <c r="C14" s="2">
        <v>0.3</v>
      </c>
      <c r="D14" s="2">
        <v>0.1</v>
      </c>
      <c r="E14" s="2">
        <v>0.1</v>
      </c>
      <c r="F14" s="9"/>
    </row>
    <row r="15" spans="1:7" x14ac:dyDescent="0.25">
      <c r="A15" s="5" t="s">
        <v>18</v>
      </c>
      <c r="B15" s="2">
        <v>0.4</v>
      </c>
      <c r="C15" s="2">
        <v>0.3</v>
      </c>
      <c r="D15" s="2">
        <v>0.1</v>
      </c>
      <c r="E15" s="2">
        <v>0.1</v>
      </c>
    </row>
    <row r="16" spans="1:7" x14ac:dyDescent="0.25">
      <c r="A16" s="6" t="s">
        <v>19</v>
      </c>
      <c r="B16" s="2">
        <v>0.4</v>
      </c>
      <c r="C16" s="2">
        <v>0.3</v>
      </c>
      <c r="D16" s="2">
        <v>0.1</v>
      </c>
      <c r="E16" s="2">
        <v>0.1</v>
      </c>
    </row>
    <row r="20" spans="1:5" x14ac:dyDescent="0.25">
      <c r="A20" s="7" t="s">
        <v>7</v>
      </c>
      <c r="B20" s="7"/>
      <c r="C20" s="7"/>
      <c r="D20" s="7"/>
      <c r="E20" s="7"/>
    </row>
    <row r="21" spans="1:5" x14ac:dyDescent="0.25">
      <c r="A21" s="1" t="s">
        <v>1</v>
      </c>
      <c r="B21" s="1" t="s">
        <v>20</v>
      </c>
      <c r="C21" s="1" t="s">
        <v>3</v>
      </c>
      <c r="D21" s="1" t="s">
        <v>4</v>
      </c>
      <c r="E21" s="1" t="s">
        <v>5</v>
      </c>
    </row>
    <row r="22" spans="1:5" x14ac:dyDescent="0.25">
      <c r="A22" s="5" t="s">
        <v>16</v>
      </c>
      <c r="B22" s="2">
        <f>B4/((B4^2)+(B5^2)+(B6^2)+(B7^2)+(B8^2)+(B9^2))^0.5</f>
        <v>0.56736651461358012</v>
      </c>
      <c r="C22" s="2">
        <f t="shared" ref="C22:F22" si="0">C4/((C4^2)+(C5^2)+(C6^2)+(C7^2)+(C8^2)+(C9^2))^0.5</f>
        <v>0.54392829322042113</v>
      </c>
      <c r="D22" s="2">
        <f t="shared" si="0"/>
        <v>0.69189840602166375</v>
      </c>
      <c r="E22" s="2">
        <f t="shared" si="0"/>
        <v>0.61538461538461542</v>
      </c>
    </row>
    <row r="23" spans="1:5" x14ac:dyDescent="0.25">
      <c r="A23" s="5" t="s">
        <v>17</v>
      </c>
      <c r="B23" s="2">
        <f>B5/((B4^2)+(B5^2)+(B6^2)+(B7^2)+(B8^2)+(B9^2))^0.5</f>
        <v>0.34914862437758781</v>
      </c>
      <c r="C23" s="2">
        <f t="shared" ref="C23:F23" si="1">C5/((C4^2)+(C5^2)+(C6^2)+(C7^2)+(C8^2)+(C9^2))^0.5</f>
        <v>0.16317848796612633</v>
      </c>
      <c r="D23" s="2">
        <f t="shared" si="1"/>
        <v>0.41513904361299825</v>
      </c>
      <c r="E23" s="2">
        <f t="shared" si="1"/>
        <v>0.15384615384615385</v>
      </c>
    </row>
    <row r="24" spans="1:5" x14ac:dyDescent="0.25">
      <c r="A24" s="5" t="s">
        <v>18</v>
      </c>
      <c r="B24" s="2">
        <f>B6/((B4^2)+(B5^2)+(B6^2)+(B7^2)+(B8^2)+(B9^2))^0.5</f>
        <v>0.69829724875517563</v>
      </c>
      <c r="C24" s="2">
        <f t="shared" ref="C24:F24" si="2">C6/((C4^2)+(C5^2)+(C6^2)+(C7^2)+(C8^2)+(C9^2))^0.5</f>
        <v>0.81589243983063175</v>
      </c>
      <c r="D24" s="2">
        <f t="shared" si="2"/>
        <v>0.4612656040144425</v>
      </c>
      <c r="E24" s="2">
        <f t="shared" si="2"/>
        <v>0.76923076923076927</v>
      </c>
    </row>
    <row r="25" spans="1:5" x14ac:dyDescent="0.25">
      <c r="A25" s="6" t="s">
        <v>19</v>
      </c>
      <c r="B25" s="2">
        <f>B7/((B4^2)+(B5^2)+(B6^2)+(B7^2)+(B8^2)+(B9^2))^0.5</f>
        <v>0.26186146828319085</v>
      </c>
      <c r="C25" s="2">
        <f t="shared" ref="C25:F25" si="3">C7/((C4^2)+(C5^2)+(C6^2)+(C7^2)+(C8^2)+(C9^2))^0.5</f>
        <v>0.10878565864408422</v>
      </c>
      <c r="D25" s="2">
        <f t="shared" si="3"/>
        <v>0.369012483211554</v>
      </c>
      <c r="E25" s="2">
        <f t="shared" si="3"/>
        <v>7.6923076923076927E-2</v>
      </c>
    </row>
    <row r="29" spans="1:5" x14ac:dyDescent="0.25">
      <c r="A29" s="7" t="s">
        <v>8</v>
      </c>
      <c r="B29" s="7"/>
      <c r="C29" s="7"/>
      <c r="D29" s="7"/>
      <c r="E29" s="7"/>
    </row>
    <row r="30" spans="1:5" x14ac:dyDescent="0.25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 spans="1:5" x14ac:dyDescent="0.25">
      <c r="A31" s="5" t="s">
        <v>16</v>
      </c>
      <c r="B31" s="2">
        <f>B22*B13</f>
        <v>0.22694660584543205</v>
      </c>
      <c r="C31" s="2">
        <f t="shared" ref="C31:F31" si="4">C22*C13</f>
        <v>0.16317848796612633</v>
      </c>
      <c r="D31" s="2">
        <f t="shared" si="4"/>
        <v>6.9189840602166375E-2</v>
      </c>
      <c r="E31" s="2">
        <f t="shared" si="4"/>
        <v>6.1538461538461542E-2</v>
      </c>
    </row>
    <row r="32" spans="1:5" x14ac:dyDescent="0.25">
      <c r="A32" s="5" t="s">
        <v>17</v>
      </c>
      <c r="B32" s="2">
        <f>B23*B14</f>
        <v>0.13965944975103514</v>
      </c>
      <c r="C32" s="2">
        <f t="shared" ref="C32:F32" si="5">C23*C14</f>
        <v>4.8953546389837899E-2</v>
      </c>
      <c r="D32" s="2">
        <f t="shared" si="5"/>
        <v>4.1513904361299828E-2</v>
      </c>
      <c r="E32" s="2">
        <f t="shared" si="5"/>
        <v>1.5384615384615385E-2</v>
      </c>
    </row>
    <row r="33" spans="1:5" x14ac:dyDescent="0.25">
      <c r="A33" s="5" t="s">
        <v>18</v>
      </c>
      <c r="B33" s="2">
        <f t="shared" ref="B33:F36" si="6">B24*B15</f>
        <v>0.27931889950207028</v>
      </c>
      <c r="C33" s="2">
        <f t="shared" si="6"/>
        <v>0.24476773194918952</v>
      </c>
      <c r="D33" s="2">
        <f t="shared" si="6"/>
        <v>4.612656040144425E-2</v>
      </c>
      <c r="E33" s="2">
        <f t="shared" si="6"/>
        <v>7.6923076923076927E-2</v>
      </c>
    </row>
    <row r="34" spans="1:5" x14ac:dyDescent="0.25">
      <c r="A34" s="6" t="s">
        <v>19</v>
      </c>
      <c r="B34" s="2">
        <f t="shared" si="6"/>
        <v>0.10474458731327635</v>
      </c>
      <c r="C34" s="2">
        <f t="shared" si="6"/>
        <v>3.2635697593225266E-2</v>
      </c>
      <c r="D34" s="2">
        <f t="shared" si="6"/>
        <v>3.6901248321155398E-2</v>
      </c>
      <c r="E34" s="2">
        <f t="shared" si="6"/>
        <v>7.6923076923076927E-3</v>
      </c>
    </row>
    <row r="38" spans="1:5" x14ac:dyDescent="0.25">
      <c r="A38" s="7" t="s">
        <v>9</v>
      </c>
      <c r="B38" s="7"/>
      <c r="C38" s="7"/>
      <c r="D38" s="7"/>
      <c r="E38" s="7"/>
    </row>
    <row r="39" spans="1:5" x14ac:dyDescent="0.25">
      <c r="A39" s="1" t="s">
        <v>1</v>
      </c>
      <c r="B39" s="1" t="s">
        <v>2</v>
      </c>
      <c r="C39" s="1" t="s">
        <v>3</v>
      </c>
      <c r="D39" s="1" t="s">
        <v>4</v>
      </c>
      <c r="E39" s="1" t="s">
        <v>5</v>
      </c>
    </row>
    <row r="40" spans="1:5" x14ac:dyDescent="0.25">
      <c r="A40" s="2" t="s">
        <v>10</v>
      </c>
      <c r="B40" s="2">
        <f>MIN(B31:B34)</f>
        <v>0.10474458731327635</v>
      </c>
      <c r="C40" s="2">
        <f>MAX(C31:C34)</f>
        <v>0.24476773194918952</v>
      </c>
      <c r="D40" s="2">
        <f>MIN(D31:D34)</f>
        <v>3.6901248321155398E-2</v>
      </c>
      <c r="E40" s="2">
        <f>MAX(E31:E34)</f>
        <v>7.6923076923076927E-2</v>
      </c>
    </row>
    <row r="41" spans="1:5" x14ac:dyDescent="0.25">
      <c r="A41" s="2" t="s">
        <v>11</v>
      </c>
      <c r="B41" s="2">
        <f>MAX(B31:B34)</f>
        <v>0.27931889950207028</v>
      </c>
      <c r="C41" s="2">
        <f>MIN(C31:C34)</f>
        <v>3.2635697593225266E-2</v>
      </c>
      <c r="D41" s="2">
        <f>MAX(D31:D34)</f>
        <v>6.9189840602166375E-2</v>
      </c>
      <c r="E41" s="2">
        <f>MIN(E31:E34)</f>
        <v>7.6923076923076927E-3</v>
      </c>
    </row>
    <row r="43" spans="1:5" x14ac:dyDescent="0.25">
      <c r="A43" s="4" t="s">
        <v>15</v>
      </c>
      <c r="B43" s="4"/>
      <c r="C43" s="4"/>
      <c r="D43" s="4"/>
    </row>
    <row r="44" spans="1:5" x14ac:dyDescent="0.25">
      <c r="A44" s="1"/>
      <c r="B44" s="1" t="s">
        <v>12</v>
      </c>
      <c r="C44" s="1" t="s">
        <v>13</v>
      </c>
      <c r="D44" s="1" t="s">
        <v>14</v>
      </c>
    </row>
    <row r="45" spans="1:5" x14ac:dyDescent="0.25">
      <c r="A45" s="5" t="s">
        <v>16</v>
      </c>
      <c r="B45" s="2">
        <f>((B31-B40)^2+(C31-C40)^2+(D31-D40)^2+(E31-E40)^2+(F31-F40)^2)^0.5</f>
        <v>0.15122624656151143</v>
      </c>
      <c r="C45" s="2">
        <f>((B31-B41)^2+(C31-C41)^2+(D31-D41)^2+(E31-E41)^2+(F31-F41)^2)^0.5</f>
        <v>0.15061104058210342</v>
      </c>
      <c r="D45" s="2">
        <f>C45/(B45+C45)</f>
        <v>0.49898089797779804</v>
      </c>
    </row>
    <row r="46" spans="1:5" x14ac:dyDescent="0.25">
      <c r="A46" s="5" t="s">
        <v>17</v>
      </c>
      <c r="B46" s="2">
        <f>((B32-B40)^2+(C32-C40)^2+(D32-D40)^2+(E32-E40)^2+(F32-F40)^2)^0.5</f>
        <v>0.20825585641125485</v>
      </c>
      <c r="C46" s="2">
        <f>((B32-B41)^2+(C32-C41)^2+(D32-D41)^2+(E32-E41)^2+(F32-F41)^2)^0.5</f>
        <v>0.14351363398141889</v>
      </c>
      <c r="D46" s="2">
        <f t="shared" ref="D46:D50" si="7">C46/(B46+C46)</f>
        <v>0.40797635355248485</v>
      </c>
    </row>
    <row r="47" spans="1:5" x14ac:dyDescent="0.25">
      <c r="A47" s="5" t="s">
        <v>18</v>
      </c>
      <c r="B47" s="2">
        <f>((B33-B40)^2+(C33-C40)^2+(D33-D40)^2+(E33-E40)^2+(F33-F40)^2)^0.5</f>
        <v>0.17481789627829644</v>
      </c>
      <c r="C47" s="2">
        <f>((B33-B41)^2+(C33-C41)^2+(D33-D41)^2+(E33-E41)^2+(F33-F41)^2)^0.5</f>
        <v>0.22433192885075687</v>
      </c>
      <c r="D47" s="12">
        <f t="shared" si="7"/>
        <v>0.56202436961666158</v>
      </c>
    </row>
    <row r="48" spans="1:5" x14ac:dyDescent="0.25">
      <c r="A48" s="6" t="s">
        <v>19</v>
      </c>
      <c r="B48" s="2">
        <f>((B34-B40)^2+(C34-C40)^2+(D34-D40)^2+(E34-E40)^2+(F34-F40)^2)^0.5</f>
        <v>0.22314322622092747</v>
      </c>
      <c r="C48" s="2">
        <f>((B34-B41)^2+(C34-C41)^2+(D34-D41)^2+(E34-E41)^2+(F34-F41)^2)^0.5</f>
        <v>0.17753518994182491</v>
      </c>
      <c r="D48" s="2">
        <f t="shared" si="7"/>
        <v>0.44308648227687797</v>
      </c>
    </row>
  </sheetData>
  <mergeCells count="2">
    <mergeCell ref="A43:D43"/>
    <mergeCell ref="A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2021-03-23T21:36:05Z</dcterms:modified>
</cp:coreProperties>
</file>