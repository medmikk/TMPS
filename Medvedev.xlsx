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50" i="1" l="1"/>
  <c r="B49" i="1"/>
  <c r="B48" i="1"/>
  <c r="B47" i="1"/>
  <c r="B46" i="1"/>
  <c r="B45" i="1"/>
  <c r="C50" i="1"/>
  <c r="C49" i="1"/>
  <c r="C48" i="1"/>
  <c r="C47" i="1"/>
  <c r="C46" i="1"/>
  <c r="C45" i="1"/>
  <c r="E40" i="1"/>
  <c r="D31" i="1"/>
  <c r="D32" i="1"/>
  <c r="D33" i="1"/>
  <c r="D34" i="1"/>
  <c r="D35" i="1"/>
  <c r="D36" i="1"/>
  <c r="C22" i="1"/>
  <c r="C31" i="1" s="1"/>
  <c r="D22" i="1"/>
  <c r="E22" i="1"/>
  <c r="E31" i="1" s="1"/>
  <c r="E41" i="1" s="1"/>
  <c r="F22" i="1"/>
  <c r="F31" i="1" s="1"/>
  <c r="F40" i="1" s="1"/>
  <c r="C23" i="1"/>
  <c r="C32" i="1" s="1"/>
  <c r="D23" i="1"/>
  <c r="E23" i="1"/>
  <c r="E32" i="1" s="1"/>
  <c r="F23" i="1"/>
  <c r="F32" i="1" s="1"/>
  <c r="C24" i="1"/>
  <c r="C33" i="1" s="1"/>
  <c r="D24" i="1"/>
  <c r="E24" i="1"/>
  <c r="E33" i="1" s="1"/>
  <c r="F24" i="1"/>
  <c r="F33" i="1" s="1"/>
  <c r="C25" i="1"/>
  <c r="C34" i="1" s="1"/>
  <c r="D25" i="1"/>
  <c r="E25" i="1"/>
  <c r="E34" i="1" s="1"/>
  <c r="F25" i="1"/>
  <c r="F34" i="1" s="1"/>
  <c r="C26" i="1"/>
  <c r="C35" i="1" s="1"/>
  <c r="D26" i="1"/>
  <c r="E26" i="1"/>
  <c r="E35" i="1" s="1"/>
  <c r="F26" i="1"/>
  <c r="F35" i="1" s="1"/>
  <c r="C27" i="1"/>
  <c r="C36" i="1" s="1"/>
  <c r="D27" i="1"/>
  <c r="E27" i="1"/>
  <c r="E36" i="1" s="1"/>
  <c r="F27" i="1"/>
  <c r="F36" i="1" s="1"/>
  <c r="B27" i="1"/>
  <c r="B36" i="1" s="1"/>
  <c r="B26" i="1"/>
  <c r="B35" i="1" s="1"/>
  <c r="B25" i="1"/>
  <c r="B34" i="1" s="1"/>
  <c r="B24" i="1"/>
  <c r="B33" i="1" s="1"/>
  <c r="B23" i="1"/>
  <c r="B32" i="1" s="1"/>
  <c r="B22" i="1"/>
  <c r="B31" i="1" s="1"/>
  <c r="B41" i="1" l="1"/>
  <c r="F41" i="1"/>
  <c r="D41" i="1"/>
  <c r="D40" i="1"/>
  <c r="C41" i="1"/>
  <c r="C40" i="1"/>
  <c r="B40" i="1"/>
  <c r="D49" i="1" l="1"/>
  <c r="D45" i="1" l="1"/>
  <c r="D46" i="1"/>
  <c r="D50" i="1"/>
  <c r="D47" i="1"/>
  <c r="D48" i="1"/>
</calcChain>
</file>

<file path=xl/sharedStrings.xml><?xml version="1.0" encoding="utf-8"?>
<sst xmlns="http://schemas.openxmlformats.org/spreadsheetml/2006/main" count="72" uniqueCount="24">
  <si>
    <t>Исходные данные</t>
  </si>
  <si>
    <t>об. 1</t>
  </si>
  <si>
    <t>об. 2</t>
  </si>
  <si>
    <t>об. 3</t>
  </si>
  <si>
    <t>об. 4</t>
  </si>
  <si>
    <t>об. 5</t>
  </si>
  <si>
    <t>об. 6</t>
  </si>
  <si>
    <t>Критерий:</t>
  </si>
  <si>
    <t>Первостепенность:</t>
  </si>
  <si>
    <t>К1</t>
  </si>
  <si>
    <t>К2</t>
  </si>
  <si>
    <t>К3</t>
  </si>
  <si>
    <t>К4</t>
  </si>
  <si>
    <t>К5</t>
  </si>
  <si>
    <t>Вес критерия</t>
  </si>
  <si>
    <t>Нормализованная таблица</t>
  </si>
  <si>
    <t>Взвешенная таблица</t>
  </si>
  <si>
    <t>Позитивная и негативная матрицы</t>
  </si>
  <si>
    <t>Позитивная</t>
  </si>
  <si>
    <t>Негативная</t>
  </si>
  <si>
    <r>
      <t>S</t>
    </r>
    <r>
      <rPr>
        <sz val="8"/>
        <color theme="1"/>
        <rFont val="Calibri"/>
        <family val="2"/>
        <charset val="204"/>
        <scheme val="minor"/>
      </rPr>
      <t>i</t>
    </r>
    <r>
      <rPr>
        <sz val="11"/>
        <color theme="1"/>
        <rFont val="Calibri"/>
        <family val="2"/>
        <scheme val="minor"/>
      </rPr>
      <t>+</t>
    </r>
  </si>
  <si>
    <r>
      <t>S</t>
    </r>
    <r>
      <rPr>
        <sz val="8"/>
        <color theme="1"/>
        <rFont val="Calibri"/>
        <family val="2"/>
        <charset val="204"/>
        <scheme val="minor"/>
      </rPr>
      <t>i-</t>
    </r>
  </si>
  <si>
    <r>
      <t>P</t>
    </r>
    <r>
      <rPr>
        <sz val="8"/>
        <color theme="1"/>
        <rFont val="Calibri"/>
        <family val="2"/>
        <charset val="204"/>
        <scheme val="minor"/>
      </rPr>
      <t>i</t>
    </r>
  </si>
  <si>
    <t>Результаты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</si>
</sst>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charset val="204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3" borderId="1" xfId="0" applyFill="1" applyBorder="1"/>
    <xf numFmtId="0" fontId="0" fillId="0" borderId="1" xfId="0" applyBorder="1"/>
    <xf numFmtId="0" fontId="0" fillId="0" borderId="0" xfId="0" applyAlignment="1"/>
    <xf numFmtId="0" fontId="0" fillId="4" borderId="0" xfId="0" applyFill="1" applyAlignment="1">
      <alignment horizontal="center"/>
    </xf>
    <xf numFmtId="0" fontId="0" fillId="4" borderId="2" xfId="0" applyFill="1" applyBorder="1" applyAlignment="1">
      <alignment horizontal="center"/>
    </xf>
    <xf numFmtId="0" fontId="2" fillId="0" borderId="1" xfId="0" applyFont="1" applyFill="1" applyBorder="1"/>
    <xf numFmtId="0" fontId="0" fillId="2" borderId="1" xfId="0" applyFill="1" applyBorder="1"/>
    <xf numFmtId="0" fontId="0" fillId="0" borderId="1" xfId="0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0"/>
  <sheetViews>
    <sheetView tabSelected="1" workbookViewId="0">
      <selection activeCell="C12" sqref="C12"/>
    </sheetView>
  </sheetViews>
  <sheetFormatPr defaultRowHeight="15" x14ac:dyDescent="0.25"/>
  <cols>
    <col min="1" max="7" width="18.28515625" customWidth="1"/>
  </cols>
  <sheetData>
    <row r="1" spans="1:7" x14ac:dyDescent="0.25">
      <c r="A1" s="5" t="s">
        <v>0</v>
      </c>
      <c r="B1" s="5"/>
      <c r="C1" s="5"/>
      <c r="D1" s="5"/>
      <c r="E1" s="5"/>
      <c r="F1" s="5"/>
      <c r="G1" s="3"/>
    </row>
    <row r="2" spans="1:7" x14ac:dyDescent="0.25">
      <c r="A2" s="1" t="s">
        <v>7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</row>
    <row r="3" spans="1:7" x14ac:dyDescent="0.25">
      <c r="A3" s="1" t="s">
        <v>8</v>
      </c>
      <c r="B3" s="1">
        <v>1</v>
      </c>
      <c r="C3" s="1">
        <v>1</v>
      </c>
      <c r="D3" s="1">
        <v>0</v>
      </c>
      <c r="E3" s="1">
        <v>0</v>
      </c>
      <c r="F3" s="1">
        <v>0</v>
      </c>
    </row>
    <row r="4" spans="1:7" x14ac:dyDescent="0.25">
      <c r="A4" s="2" t="s">
        <v>1</v>
      </c>
      <c r="B4" s="2">
        <v>10</v>
      </c>
      <c r="C4" s="2">
        <v>25</v>
      </c>
      <c r="D4" s="2">
        <v>120</v>
      </c>
      <c r="E4" s="2">
        <v>53</v>
      </c>
      <c r="F4" s="2">
        <v>2</v>
      </c>
    </row>
    <row r="5" spans="1:7" x14ac:dyDescent="0.25">
      <c r="A5" s="2" t="s">
        <v>2</v>
      </c>
      <c r="B5" s="2">
        <v>15</v>
      </c>
      <c r="C5" s="2">
        <v>16</v>
      </c>
      <c r="D5" s="2">
        <v>152</v>
      </c>
      <c r="E5" s="2">
        <v>53</v>
      </c>
      <c r="F5" s="2">
        <v>3</v>
      </c>
    </row>
    <row r="6" spans="1:7" x14ac:dyDescent="0.25">
      <c r="A6" s="2" t="s">
        <v>3</v>
      </c>
      <c r="B6" s="2">
        <v>13</v>
      </c>
      <c r="C6" s="2">
        <v>21</v>
      </c>
      <c r="D6" s="2">
        <v>174</v>
      </c>
      <c r="E6" s="2">
        <v>52</v>
      </c>
      <c r="F6" s="2">
        <v>1</v>
      </c>
    </row>
    <row r="7" spans="1:7" x14ac:dyDescent="0.25">
      <c r="A7" s="2" t="s">
        <v>4</v>
      </c>
      <c r="B7" s="2">
        <v>16</v>
      </c>
      <c r="C7" s="2">
        <v>21</v>
      </c>
      <c r="D7" s="2">
        <v>102</v>
      </c>
      <c r="E7" s="2">
        <v>53</v>
      </c>
      <c r="F7" s="2">
        <v>5</v>
      </c>
    </row>
    <row r="8" spans="1:7" x14ac:dyDescent="0.25">
      <c r="A8" s="2" t="s">
        <v>5</v>
      </c>
      <c r="B8" s="2">
        <v>10</v>
      </c>
      <c r="C8" s="2">
        <v>17</v>
      </c>
      <c r="D8" s="2">
        <v>92</v>
      </c>
      <c r="E8" s="2">
        <v>51</v>
      </c>
      <c r="F8" s="2">
        <v>3</v>
      </c>
    </row>
    <row r="9" spans="1:7" x14ac:dyDescent="0.25">
      <c r="A9" s="2" t="s">
        <v>6</v>
      </c>
      <c r="B9" s="2">
        <v>18</v>
      </c>
      <c r="C9" s="2">
        <v>30</v>
      </c>
      <c r="D9" s="2">
        <v>132</v>
      </c>
      <c r="E9" s="2">
        <v>50</v>
      </c>
      <c r="F9" s="2">
        <v>4</v>
      </c>
    </row>
    <row r="11" spans="1:7" x14ac:dyDescent="0.25">
      <c r="A11" s="4" t="s">
        <v>14</v>
      </c>
      <c r="B11" s="4"/>
      <c r="C11" s="4"/>
      <c r="D11" s="4"/>
      <c r="E11" s="4"/>
      <c r="F11" s="4"/>
    </row>
    <row r="12" spans="1:7" x14ac:dyDescent="0.25">
      <c r="A12" s="1" t="s">
        <v>7</v>
      </c>
      <c r="B12" s="1" t="s">
        <v>9</v>
      </c>
      <c r="C12" s="1" t="s">
        <v>10</v>
      </c>
      <c r="D12" s="1" t="s">
        <v>11</v>
      </c>
      <c r="E12" s="1" t="s">
        <v>12</v>
      </c>
      <c r="F12" s="1" t="s">
        <v>13</v>
      </c>
    </row>
    <row r="13" spans="1:7" x14ac:dyDescent="0.25">
      <c r="A13" s="2" t="s">
        <v>1</v>
      </c>
      <c r="B13" s="2">
        <v>0.4</v>
      </c>
      <c r="C13" s="2">
        <v>0.3</v>
      </c>
      <c r="D13" s="2">
        <v>0.1</v>
      </c>
      <c r="E13" s="2">
        <v>0.1</v>
      </c>
      <c r="F13" s="2">
        <v>0.1</v>
      </c>
    </row>
    <row r="14" spans="1:7" x14ac:dyDescent="0.25">
      <c r="A14" s="2" t="s">
        <v>2</v>
      </c>
      <c r="B14" s="2">
        <v>0.4</v>
      </c>
      <c r="C14" s="2">
        <v>0.3</v>
      </c>
      <c r="D14" s="2">
        <v>0.1</v>
      </c>
      <c r="E14" s="2">
        <v>0.1</v>
      </c>
      <c r="F14" s="2">
        <v>0.1</v>
      </c>
    </row>
    <row r="15" spans="1:7" x14ac:dyDescent="0.25">
      <c r="A15" s="2" t="s">
        <v>3</v>
      </c>
      <c r="B15" s="2">
        <v>0.4</v>
      </c>
      <c r="C15" s="2">
        <v>0.3</v>
      </c>
      <c r="D15" s="2">
        <v>0.1</v>
      </c>
      <c r="E15" s="2">
        <v>0.1</v>
      </c>
      <c r="F15" s="2">
        <v>0.1</v>
      </c>
    </row>
    <row r="16" spans="1:7" x14ac:dyDescent="0.25">
      <c r="A16" s="2" t="s">
        <v>4</v>
      </c>
      <c r="B16" s="2">
        <v>0.4</v>
      </c>
      <c r="C16" s="2">
        <v>0.3</v>
      </c>
      <c r="D16" s="2">
        <v>0.1</v>
      </c>
      <c r="E16" s="2">
        <v>0.1</v>
      </c>
      <c r="F16" s="2">
        <v>0.1</v>
      </c>
    </row>
    <row r="17" spans="1:6" x14ac:dyDescent="0.25">
      <c r="A17" s="2" t="s">
        <v>5</v>
      </c>
      <c r="B17" s="2">
        <v>0.4</v>
      </c>
      <c r="C17" s="2">
        <v>0.3</v>
      </c>
      <c r="D17" s="2">
        <v>0.1</v>
      </c>
      <c r="E17" s="2">
        <v>0.1</v>
      </c>
      <c r="F17" s="2">
        <v>0.1</v>
      </c>
    </row>
    <row r="18" spans="1:6" x14ac:dyDescent="0.25">
      <c r="A18" s="2" t="s">
        <v>6</v>
      </c>
      <c r="B18" s="2">
        <v>0.4</v>
      </c>
      <c r="C18" s="2">
        <v>0.3</v>
      </c>
      <c r="D18" s="2">
        <v>0.1</v>
      </c>
      <c r="E18" s="2">
        <v>0.1</v>
      </c>
      <c r="F18" s="2">
        <v>0.1</v>
      </c>
    </row>
    <row r="20" spans="1:6" x14ac:dyDescent="0.25">
      <c r="A20" s="4" t="s">
        <v>15</v>
      </c>
      <c r="B20" s="4"/>
      <c r="C20" s="4"/>
      <c r="D20" s="4"/>
      <c r="E20" s="4"/>
      <c r="F20" s="4"/>
    </row>
    <row r="21" spans="1:6" x14ac:dyDescent="0.25">
      <c r="A21" s="1" t="s">
        <v>7</v>
      </c>
      <c r="B21" s="1" t="s">
        <v>9</v>
      </c>
      <c r="C21" s="1" t="s">
        <v>10</v>
      </c>
      <c r="D21" s="1" t="s">
        <v>11</v>
      </c>
      <c r="E21" s="1" t="s">
        <v>12</v>
      </c>
      <c r="F21" s="1" t="s">
        <v>13</v>
      </c>
    </row>
    <row r="22" spans="1:6" x14ac:dyDescent="0.25">
      <c r="A22" s="2" t="s">
        <v>1</v>
      </c>
      <c r="B22" s="2">
        <f>B4/((B4^2)+(B5^2)+(B6^2)+(B7^2)+(B8^2)+(B9^2))^0.5</f>
        <v>0.29185420270888951</v>
      </c>
      <c r="C22" s="2">
        <f t="shared" ref="C22:F22" si="0">C4/((C4^2)+(C5^2)+(C6^2)+(C7^2)+(C8^2)+(C9^2))^0.5</f>
        <v>0.46013135864519394</v>
      </c>
      <c r="D22" s="2">
        <f t="shared" si="0"/>
        <v>0.37197546530743575</v>
      </c>
      <c r="E22" s="2">
        <f t="shared" si="0"/>
        <v>0.41599666848573102</v>
      </c>
      <c r="F22" s="2">
        <f t="shared" si="0"/>
        <v>0.25</v>
      </c>
    </row>
    <row r="23" spans="1:6" x14ac:dyDescent="0.25">
      <c r="A23" s="2" t="s">
        <v>2</v>
      </c>
      <c r="B23" s="2">
        <f>B5/((B4^2)+(B5^2)+(B6^2)+(B7^2)+(B8^2)+(B9^2))^0.5</f>
        <v>0.43778130406333421</v>
      </c>
      <c r="C23" s="2">
        <f t="shared" ref="C23:F23" si="1">C5/((C4^2)+(C5^2)+(C6^2)+(C7^2)+(C8^2)+(C9^2))^0.5</f>
        <v>0.29448406953292411</v>
      </c>
      <c r="D23" s="2">
        <f t="shared" si="1"/>
        <v>0.47116892272275196</v>
      </c>
      <c r="E23" s="2">
        <f t="shared" si="1"/>
        <v>0.41599666848573102</v>
      </c>
      <c r="F23" s="2">
        <f t="shared" si="1"/>
        <v>0.375</v>
      </c>
    </row>
    <row r="24" spans="1:6" x14ac:dyDescent="0.25">
      <c r="A24" s="2" t="s">
        <v>3</v>
      </c>
      <c r="B24" s="2">
        <f>B6/((B4^2)+(B5^2)+(B6^2)+(B7^2)+(B8^2)+(B9^2))^0.5</f>
        <v>0.37941046352155633</v>
      </c>
      <c r="C24" s="2">
        <f t="shared" ref="C24:F24" si="2">C6/((C4^2)+(C5^2)+(C6^2)+(C7^2)+(C8^2)+(C9^2))^0.5</f>
        <v>0.38651034126196293</v>
      </c>
      <c r="D24" s="2">
        <f t="shared" si="2"/>
        <v>0.53936442469578183</v>
      </c>
      <c r="E24" s="2">
        <f t="shared" si="2"/>
        <v>0.40814767474071723</v>
      </c>
      <c r="F24" s="2">
        <f t="shared" si="2"/>
        <v>0.125</v>
      </c>
    </row>
    <row r="25" spans="1:6" x14ac:dyDescent="0.25">
      <c r="A25" s="2" t="s">
        <v>4</v>
      </c>
      <c r="B25" s="2">
        <f>B7/((B4^2)+(B5^2)+(B6^2)+(B7^2)+(B8^2)+(B9^2))^0.5</f>
        <v>0.4669667243342232</v>
      </c>
      <c r="C25" s="2">
        <f t="shared" ref="C25:F25" si="3">C7/((C4^2)+(C5^2)+(C6^2)+(C7^2)+(C8^2)+(C9^2))^0.5</f>
        <v>0.38651034126196293</v>
      </c>
      <c r="D25" s="2">
        <f t="shared" si="3"/>
        <v>0.31617914551132043</v>
      </c>
      <c r="E25" s="2">
        <f t="shared" si="3"/>
        <v>0.41599666848573102</v>
      </c>
      <c r="F25" s="2">
        <f t="shared" si="3"/>
        <v>0.625</v>
      </c>
    </row>
    <row r="26" spans="1:6" x14ac:dyDescent="0.25">
      <c r="A26" s="2" t="s">
        <v>5</v>
      </c>
      <c r="B26" s="2">
        <f>B8/((B4^2)+(B5^2)+(B6^2)+(B7^2)+(B8^2)+(B9^2))^0.5</f>
        <v>0.29185420270888951</v>
      </c>
      <c r="C26" s="2">
        <f t="shared" ref="C26:F26" si="4">C8/((C4^2)+(C5^2)+(C6^2)+(C7^2)+(C8^2)+(C9^2))^0.5</f>
        <v>0.31288932387873192</v>
      </c>
      <c r="D26" s="2">
        <f t="shared" si="4"/>
        <v>0.28518119006903409</v>
      </c>
      <c r="E26" s="2">
        <f t="shared" si="4"/>
        <v>0.40029868099570343</v>
      </c>
      <c r="F26" s="2">
        <f t="shared" si="4"/>
        <v>0.375</v>
      </c>
    </row>
    <row r="27" spans="1:6" x14ac:dyDescent="0.25">
      <c r="A27" s="2" t="s">
        <v>6</v>
      </c>
      <c r="B27" s="2">
        <f>B9/((B4^2)+(B5^2)+(B6^2)+(B7^2)+(B8^2)+(B9^2))^0.5</f>
        <v>0.52533756487600103</v>
      </c>
      <c r="C27" s="2">
        <f t="shared" ref="C27:F27" si="5">C9/((C4^2)+(C5^2)+(C6^2)+(C7^2)+(C8^2)+(C9^2))^0.5</f>
        <v>0.55215763037423271</v>
      </c>
      <c r="D27" s="2">
        <f t="shared" si="5"/>
        <v>0.40917301183817933</v>
      </c>
      <c r="E27" s="2">
        <f t="shared" si="5"/>
        <v>0.39244968725068963</v>
      </c>
      <c r="F27" s="2">
        <f t="shared" si="5"/>
        <v>0.5</v>
      </c>
    </row>
    <row r="29" spans="1:6" x14ac:dyDescent="0.25">
      <c r="A29" s="4" t="s">
        <v>16</v>
      </c>
      <c r="B29" s="4"/>
      <c r="C29" s="4"/>
      <c r="D29" s="4"/>
      <c r="E29" s="4"/>
      <c r="F29" s="4"/>
    </row>
    <row r="30" spans="1:6" x14ac:dyDescent="0.25">
      <c r="A30" s="1" t="s">
        <v>7</v>
      </c>
      <c r="B30" s="1" t="s">
        <v>9</v>
      </c>
      <c r="C30" s="1" t="s">
        <v>10</v>
      </c>
      <c r="D30" s="1" t="s">
        <v>11</v>
      </c>
      <c r="E30" s="1" t="s">
        <v>12</v>
      </c>
      <c r="F30" s="1" t="s">
        <v>13</v>
      </c>
    </row>
    <row r="31" spans="1:6" x14ac:dyDescent="0.25">
      <c r="A31" s="2" t="s">
        <v>1</v>
      </c>
      <c r="B31" s="2">
        <f>B22*B13</f>
        <v>0.11674168108355581</v>
      </c>
      <c r="C31" s="2">
        <f t="shared" ref="C31:F31" si="6">C22*C13</f>
        <v>0.13803940759355818</v>
      </c>
      <c r="D31" s="2">
        <f t="shared" si="6"/>
        <v>3.7197546530743579E-2</v>
      </c>
      <c r="E31" s="2">
        <f t="shared" si="6"/>
        <v>4.1599666848573108E-2</v>
      </c>
      <c r="F31" s="2">
        <f t="shared" si="6"/>
        <v>2.5000000000000001E-2</v>
      </c>
    </row>
    <row r="32" spans="1:6" x14ac:dyDescent="0.25">
      <c r="A32" s="2" t="s">
        <v>2</v>
      </c>
      <c r="B32" s="2">
        <f>B23*B14</f>
        <v>0.17511252162533369</v>
      </c>
      <c r="C32" s="2">
        <f t="shared" ref="C32:F32" si="7">C23*C14</f>
        <v>8.8345220859877227E-2</v>
      </c>
      <c r="D32" s="2">
        <f t="shared" si="7"/>
        <v>4.7116892272275196E-2</v>
      </c>
      <c r="E32" s="2">
        <f t="shared" si="7"/>
        <v>4.1599666848573108E-2</v>
      </c>
      <c r="F32" s="2">
        <f t="shared" si="7"/>
        <v>3.7500000000000006E-2</v>
      </c>
    </row>
    <row r="33" spans="1:6" x14ac:dyDescent="0.25">
      <c r="A33" s="2" t="s">
        <v>3</v>
      </c>
      <c r="B33" s="2">
        <f t="shared" ref="B33:F36" si="8">B24*B15</f>
        <v>0.15176418540862255</v>
      </c>
      <c r="C33" s="2">
        <f t="shared" si="8"/>
        <v>0.11595310237858887</v>
      </c>
      <c r="D33" s="2">
        <f t="shared" si="8"/>
        <v>5.3936442469578183E-2</v>
      </c>
      <c r="E33" s="2">
        <f t="shared" si="8"/>
        <v>4.0814767474071728E-2</v>
      </c>
      <c r="F33" s="2">
        <f t="shared" si="8"/>
        <v>1.2500000000000001E-2</v>
      </c>
    </row>
    <row r="34" spans="1:6" x14ac:dyDescent="0.25">
      <c r="A34" s="2" t="s">
        <v>4</v>
      </c>
      <c r="B34" s="2">
        <f t="shared" si="8"/>
        <v>0.18678668973368928</v>
      </c>
      <c r="C34" s="2">
        <f t="shared" si="8"/>
        <v>0.11595310237858887</v>
      </c>
      <c r="D34" s="2">
        <f t="shared" si="8"/>
        <v>3.1617914551132047E-2</v>
      </c>
      <c r="E34" s="2">
        <f t="shared" si="8"/>
        <v>4.1599666848573108E-2</v>
      </c>
      <c r="F34" s="2">
        <f t="shared" si="8"/>
        <v>6.25E-2</v>
      </c>
    </row>
    <row r="35" spans="1:6" x14ac:dyDescent="0.25">
      <c r="A35" s="2" t="s">
        <v>5</v>
      </c>
      <c r="B35" s="2">
        <f t="shared" si="8"/>
        <v>0.11674168108355581</v>
      </c>
      <c r="C35" s="2">
        <f t="shared" si="8"/>
        <v>9.3866797163619578E-2</v>
      </c>
      <c r="D35" s="2">
        <f t="shared" si="8"/>
        <v>2.851811900690341E-2</v>
      </c>
      <c r="E35" s="2">
        <f t="shared" si="8"/>
        <v>4.0029868099570348E-2</v>
      </c>
      <c r="F35" s="2">
        <f t="shared" si="8"/>
        <v>3.7500000000000006E-2</v>
      </c>
    </row>
    <row r="36" spans="1:6" x14ac:dyDescent="0.25">
      <c r="A36" s="2" t="s">
        <v>6</v>
      </c>
      <c r="B36" s="2">
        <f t="shared" si="8"/>
        <v>0.21013502595040043</v>
      </c>
      <c r="C36" s="2">
        <f t="shared" si="8"/>
        <v>0.16564728911226981</v>
      </c>
      <c r="D36" s="2">
        <f t="shared" si="8"/>
        <v>4.0917301183817936E-2</v>
      </c>
      <c r="E36" s="2">
        <f t="shared" si="8"/>
        <v>3.9244968725068968E-2</v>
      </c>
      <c r="F36" s="2">
        <f t="shared" si="8"/>
        <v>0.05</v>
      </c>
    </row>
    <row r="38" spans="1:6" x14ac:dyDescent="0.25">
      <c r="A38" s="4" t="s">
        <v>17</v>
      </c>
      <c r="B38" s="4"/>
      <c r="C38" s="4"/>
      <c r="D38" s="4"/>
      <c r="E38" s="4"/>
      <c r="F38" s="4"/>
    </row>
    <row r="39" spans="1:6" x14ac:dyDescent="0.25">
      <c r="A39" s="1" t="s">
        <v>7</v>
      </c>
      <c r="B39" s="1" t="s">
        <v>9</v>
      </c>
      <c r="C39" s="1" t="s">
        <v>10</v>
      </c>
      <c r="D39" s="1" t="s">
        <v>11</v>
      </c>
      <c r="E39" s="1" t="s">
        <v>12</v>
      </c>
      <c r="F39" s="1" t="s">
        <v>13</v>
      </c>
    </row>
    <row r="40" spans="1:6" x14ac:dyDescent="0.25">
      <c r="A40" s="2" t="s">
        <v>18</v>
      </c>
      <c r="B40" s="2">
        <f>MAX(B31:B36)</f>
        <v>0.21013502595040043</v>
      </c>
      <c r="C40" s="2">
        <f>MAX(C31:C36)</f>
        <v>0.16564728911226981</v>
      </c>
      <c r="D40" s="2">
        <f>MIN(D31:D36)</f>
        <v>2.851811900690341E-2</v>
      </c>
      <c r="E40" s="2">
        <f>MIN(E31:E36)</f>
        <v>3.9244968725068968E-2</v>
      </c>
      <c r="F40" s="2">
        <f>MIN(F31:F36)</f>
        <v>1.2500000000000001E-2</v>
      </c>
    </row>
    <row r="41" spans="1:6" x14ac:dyDescent="0.25">
      <c r="A41" s="2" t="s">
        <v>19</v>
      </c>
      <c r="B41" s="2">
        <f>MIN(B31:B36)</f>
        <v>0.11674168108355581</v>
      </c>
      <c r="C41" s="2">
        <f>MIN(C31:C36)</f>
        <v>8.8345220859877227E-2</v>
      </c>
      <c r="D41" s="2">
        <f>MAX(D31:D36)</f>
        <v>5.3936442469578183E-2</v>
      </c>
      <c r="E41" s="2">
        <f>MAX(E31:E36)</f>
        <v>4.1599666848573108E-2</v>
      </c>
      <c r="F41" s="2">
        <f>MAX(F31:F36)</f>
        <v>6.25E-2</v>
      </c>
    </row>
    <row r="43" spans="1:6" x14ac:dyDescent="0.25">
      <c r="A43" s="5" t="s">
        <v>23</v>
      </c>
      <c r="B43" s="5"/>
      <c r="C43" s="5"/>
      <c r="D43" s="5"/>
    </row>
    <row r="44" spans="1:6" x14ac:dyDescent="0.25">
      <c r="A44" s="1"/>
      <c r="B44" s="1" t="s">
        <v>20</v>
      </c>
      <c r="C44" s="1" t="s">
        <v>21</v>
      </c>
      <c r="D44" s="1" t="s">
        <v>22</v>
      </c>
    </row>
    <row r="45" spans="1:6" x14ac:dyDescent="0.25">
      <c r="A45" s="2" t="s">
        <v>1</v>
      </c>
      <c r="B45" s="2">
        <f>((B31-B40)^2+(C31-C40)^2+(D31-D40)^2+(E31-E40)^2+(F31-F40)^2)^0.5</f>
        <v>9.8598372465081893E-2</v>
      </c>
      <c r="C45" s="2">
        <f>((B31-B41)^2+(C31-C41)^2+(D31-D41)^2+(E31-E41)^2+(F31-F41)^2)^0.5</f>
        <v>6.4466680016680586E-2</v>
      </c>
      <c r="D45" s="2">
        <f>C45/(B45+C45)</f>
        <v>0.39534332486043056</v>
      </c>
    </row>
    <row r="46" spans="1:6" x14ac:dyDescent="0.25">
      <c r="A46" s="2" t="s">
        <v>2</v>
      </c>
      <c r="B46" s="2">
        <f>((B32-B40)^2+(C32-C40)^2+(D32-D40)^2+(E32-E40)^2+(F32-F40)^2)^0.5</f>
        <v>9.0435858681865905E-2</v>
      </c>
      <c r="C46" s="2">
        <f>((B32-B41)^2+(C32-C41)^2+(D32-D41)^2+(E32-E41)^2+(F32-F41)^2)^0.5</f>
        <v>6.386439767544351E-2</v>
      </c>
      <c r="D46" s="2">
        <f t="shared" ref="D46:D50" si="9">C46/(B46+C46)</f>
        <v>0.41389689935157492</v>
      </c>
    </row>
    <row r="47" spans="1:6" x14ac:dyDescent="0.25">
      <c r="A47" s="2" t="s">
        <v>3</v>
      </c>
      <c r="B47" s="2">
        <f>((B33-B40)^2+(C33-C40)^2+(D33-D40)^2+(E33-E40)^2+(F33-F40)^2)^0.5</f>
        <v>8.0778850304031577E-2</v>
      </c>
      <c r="C47" s="2">
        <f>((B33-B41)^2+(C33-C41)^2+(D33-D41)^2+(E33-E41)^2+(F33-F41)^2)^0.5</f>
        <v>6.7002887983867027E-2</v>
      </c>
      <c r="D47" s="2">
        <f t="shared" si="9"/>
        <v>0.45339085031830145</v>
      </c>
    </row>
    <row r="48" spans="1:6" x14ac:dyDescent="0.25">
      <c r="A48" s="2" t="s">
        <v>4</v>
      </c>
      <c r="B48" s="2">
        <f>((B34-B40)^2+(C34-C40)^2+(D34-D40)^2+(E34-E40)^2+(F34-F40)^2)^0.5</f>
        <v>7.4362694510617278E-2</v>
      </c>
      <c r="C48" s="2">
        <f>((B34-B41)^2+(C34-C41)^2+(D34-D41)^2+(E34-E41)^2+(F34-F41)^2)^0.5</f>
        <v>7.8527797926561976E-2</v>
      </c>
      <c r="D48" s="2">
        <f t="shared" si="9"/>
        <v>0.51362119824964292</v>
      </c>
    </row>
    <row r="49" spans="1:4" x14ac:dyDescent="0.25">
      <c r="A49" s="6" t="s">
        <v>5</v>
      </c>
      <c r="B49" s="6">
        <f>((B35-B40)^2+(C35-C40)^2+(D35-D40)^2+(E35-E40)^2+(F35-F40)^2)^0.5</f>
        <v>0.12041749024471364</v>
      </c>
      <c r="C49" s="6">
        <f>((B35-B41)^2+(C35-C41)^2+(D35-D41)^2+(E35-E41)^2+(F35-F41)^2)^0.5</f>
        <v>3.6111538885009904E-2</v>
      </c>
      <c r="D49" s="6">
        <f t="shared" si="9"/>
        <v>0.23070186460482317</v>
      </c>
    </row>
    <row r="50" spans="1:4" x14ac:dyDescent="0.25">
      <c r="A50" s="8" t="s">
        <v>6</v>
      </c>
      <c r="B50" s="8">
        <f>((B36-B40)^2+(C36-C40)^2+(D36-D40)^2+(E36-E40)^2+(F36-F40)^2)^0.5</f>
        <v>3.9496705162029848E-2</v>
      </c>
      <c r="C50" s="8">
        <f>((B36-B41)^2+(C36-C41)^2+(D36-D41)^2+(E36-E41)^2+(F36-F41)^2)^0.5</f>
        <v>0.12259371625245052</v>
      </c>
      <c r="D50" s="7">
        <f t="shared" si="9"/>
        <v>0.756329184554138</v>
      </c>
    </row>
  </sheetData>
  <mergeCells count="6">
    <mergeCell ref="A43:D43"/>
    <mergeCell ref="A1:F1"/>
    <mergeCell ref="A11:F11"/>
    <mergeCell ref="A20:F20"/>
    <mergeCell ref="A29:F29"/>
    <mergeCell ref="A38:F38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2021-03-09T21:35:46Z</dcterms:modified>
</cp:coreProperties>
</file>